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5"/>
  <workbookPr/>
  <mc:AlternateContent xmlns:mc="http://schemas.openxmlformats.org/markup-compatibility/2006">
    <mc:Choice Requires="x15">
      <x15ac:absPath xmlns:x15ac="http://schemas.microsoft.com/office/spreadsheetml/2010/11/ac" url="C:\Users\Ezequiel D'Arcangelo\Mi unidad\00. Ingles\Academic\00. Cursando\02. Actuación\000. TP 10\"/>
    </mc:Choice>
  </mc:AlternateContent>
  <xr:revisionPtr revIDLastSave="0" documentId="13_ncr:1_{09CA0CD0-A99C-434F-8CDF-FB944933770F}" xr6:coauthVersionLast="47" xr6:coauthVersionMax="47" xr10:uidLastSave="{00000000-0000-0000-0000-000000000000}"/>
  <bookViews>
    <workbookView xWindow="-120" yWindow="-120" windowWidth="29040" windowHeight="15720" tabRatio="500" firstSheet="6" activeTab="6" xr2:uid="{00000000-000D-0000-FFFF-FFFF00000000}"/>
  </bookViews>
  <sheets>
    <sheet name="Portada" sheetId="1" r:id="rId1"/>
    <sheet name="Aspectos y Ponderación" sheetId="2" r:id="rId2"/>
    <sheet name="Escalas" sheetId="3" r:id="rId3"/>
    <sheet name="RFP - Proveedor" sheetId="4" r:id="rId4"/>
    <sheet name="RFP - Funcional" sheetId="5" r:id="rId5"/>
    <sheet name="RFP - Técnico" sheetId="6" r:id="rId6"/>
    <sheet name="RFP - Económico" sheetId="7" r:id="rId7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N12" i="7" l="1"/>
  <c r="O12" i="7" s="1"/>
  <c r="P12" i="7" s="1"/>
  <c r="Q12" i="7" s="1"/>
  <c r="K12" i="7"/>
  <c r="L12" i="7" s="1"/>
  <c r="J12" i="7"/>
  <c r="I12" i="7"/>
  <c r="E12" i="7"/>
  <c r="O11" i="7"/>
  <c r="P11" i="7" s="1"/>
  <c r="Q11" i="7" s="1"/>
  <c r="N11" i="7"/>
  <c r="I11" i="7"/>
  <c r="J11" i="7" s="1"/>
  <c r="K11" i="7" s="1"/>
  <c r="L11" i="7" s="1"/>
  <c r="E11" i="7"/>
  <c r="N10" i="7"/>
  <c r="O10" i="7" s="1"/>
  <c r="P10" i="7" s="1"/>
  <c r="Q10" i="7" s="1"/>
  <c r="J10" i="7"/>
  <c r="K10" i="7" s="1"/>
  <c r="L10" i="7" s="1"/>
  <c r="I10" i="7"/>
  <c r="E10" i="7"/>
  <c r="O8" i="7"/>
  <c r="P8" i="7" s="1"/>
  <c r="Q8" i="7" s="1"/>
  <c r="N8" i="7"/>
  <c r="I8" i="7"/>
  <c r="J8" i="7" s="1"/>
  <c r="K8" i="7" s="1"/>
  <c r="L8" i="7" s="1"/>
  <c r="E8" i="7"/>
  <c r="P7" i="7"/>
  <c r="Q7" i="7" s="1"/>
  <c r="O7" i="7"/>
  <c r="N7" i="7"/>
  <c r="I7" i="7"/>
  <c r="J7" i="7" s="1"/>
  <c r="K7" i="7" s="1"/>
  <c r="L7" i="7" s="1"/>
  <c r="E7" i="7"/>
  <c r="N6" i="7"/>
  <c r="O6" i="7" s="1"/>
  <c r="P6" i="7" s="1"/>
  <c r="Q6" i="7" s="1"/>
  <c r="Q13" i="7" s="1"/>
  <c r="J6" i="7"/>
  <c r="K6" i="7" s="1"/>
  <c r="L6" i="7" s="1"/>
  <c r="I6" i="7"/>
  <c r="E6" i="7"/>
  <c r="N16" i="6"/>
  <c r="M16" i="6"/>
  <c r="I16" i="6"/>
  <c r="J16" i="6" s="1"/>
  <c r="E16" i="6"/>
  <c r="N15" i="6"/>
  <c r="M15" i="6"/>
  <c r="I15" i="6"/>
  <c r="J15" i="6" s="1"/>
  <c r="E15" i="6"/>
  <c r="M14" i="6"/>
  <c r="N14" i="6" s="1"/>
  <c r="I14" i="6"/>
  <c r="J14" i="6" s="1"/>
  <c r="E14" i="6"/>
  <c r="M12" i="6"/>
  <c r="N12" i="6" s="1"/>
  <c r="I12" i="6"/>
  <c r="J12" i="6" s="1"/>
  <c r="E12" i="6"/>
  <c r="M11" i="6"/>
  <c r="N11" i="6" s="1"/>
  <c r="I11" i="6"/>
  <c r="J11" i="6" s="1"/>
  <c r="E11" i="6"/>
  <c r="M10" i="6"/>
  <c r="N10" i="6" s="1"/>
  <c r="I10" i="6"/>
  <c r="E10" i="6"/>
  <c r="J10" i="6" s="1"/>
  <c r="M8" i="6"/>
  <c r="N8" i="6" s="1"/>
  <c r="J8" i="6"/>
  <c r="I8" i="6"/>
  <c r="E8" i="6"/>
  <c r="M7" i="6"/>
  <c r="N7" i="6" s="1"/>
  <c r="J7" i="6"/>
  <c r="I7" i="6"/>
  <c r="E7" i="6"/>
  <c r="N6" i="6"/>
  <c r="M6" i="6"/>
  <c r="I6" i="6"/>
  <c r="J6" i="6" s="1"/>
  <c r="E6" i="6"/>
  <c r="M16" i="5"/>
  <c r="N16" i="5" s="1"/>
  <c r="I16" i="5"/>
  <c r="J16" i="5" s="1"/>
  <c r="E16" i="5"/>
  <c r="M15" i="5"/>
  <c r="N15" i="5" s="1"/>
  <c r="I15" i="5"/>
  <c r="J15" i="5" s="1"/>
  <c r="E15" i="5"/>
  <c r="M14" i="5"/>
  <c r="N14" i="5" s="1"/>
  <c r="I14" i="5"/>
  <c r="J14" i="5" s="1"/>
  <c r="E14" i="5"/>
  <c r="M12" i="5"/>
  <c r="N12" i="5" s="1"/>
  <c r="J12" i="5"/>
  <c r="I12" i="5"/>
  <c r="E12" i="5"/>
  <c r="M11" i="5"/>
  <c r="N11" i="5" s="1"/>
  <c r="J11" i="5"/>
  <c r="I11" i="5"/>
  <c r="E11" i="5"/>
  <c r="M10" i="5"/>
  <c r="I10" i="5"/>
  <c r="J10" i="5" s="1"/>
  <c r="E10" i="5"/>
  <c r="N10" i="5" s="1"/>
  <c r="N8" i="5"/>
  <c r="M8" i="5"/>
  <c r="I8" i="5"/>
  <c r="J8" i="5" s="1"/>
  <c r="E8" i="5"/>
  <c r="M7" i="5"/>
  <c r="N7" i="5" s="1"/>
  <c r="I7" i="5"/>
  <c r="J7" i="5" s="1"/>
  <c r="E7" i="5"/>
  <c r="M6" i="5"/>
  <c r="N6" i="5" s="1"/>
  <c r="I6" i="5"/>
  <c r="J6" i="5" s="1"/>
  <c r="J17" i="5" s="1"/>
  <c r="E6" i="5"/>
  <c r="M12" i="4"/>
  <c r="N12" i="4" s="1"/>
  <c r="J12" i="4"/>
  <c r="I12" i="4"/>
  <c r="E12" i="4"/>
  <c r="M11" i="4"/>
  <c r="N11" i="4" s="1"/>
  <c r="J11" i="4"/>
  <c r="I11" i="4"/>
  <c r="E11" i="4"/>
  <c r="M10" i="4"/>
  <c r="I10" i="4"/>
  <c r="J10" i="4" s="1"/>
  <c r="E10" i="4"/>
  <c r="N10" i="4" s="1"/>
  <c r="N8" i="4"/>
  <c r="M8" i="4"/>
  <c r="I8" i="4"/>
  <c r="J8" i="4" s="1"/>
  <c r="E8" i="4"/>
  <c r="M7" i="4"/>
  <c r="N7" i="4" s="1"/>
  <c r="I7" i="4"/>
  <c r="J7" i="4" s="1"/>
  <c r="E7" i="4"/>
  <c r="M6" i="4"/>
  <c r="N6" i="4" s="1"/>
  <c r="I6" i="4"/>
  <c r="J6" i="4" s="1"/>
  <c r="J13" i="4" s="1"/>
  <c r="E6" i="4"/>
  <c r="C8" i="2"/>
  <c r="N17" i="5" l="1"/>
  <c r="L13" i="7"/>
  <c r="N17" i="6"/>
  <c r="N13" i="4"/>
  <c r="J17" i="6"/>
</calcChain>
</file>

<file path=xl/sharedStrings.xml><?xml version="1.0" encoding="utf-8"?>
<sst xmlns="http://schemas.openxmlformats.org/spreadsheetml/2006/main" count="382" uniqueCount="254">
  <si>
    <t>Matriz RFP – Niveles, Ponderación y Escalas</t>
  </si>
  <si>
    <t>Entregable N° 10</t>
  </si>
  <si>
    <t>Grupo</t>
  </si>
  <si>
    <t>Grupo 2 – Nova Consulting</t>
  </si>
  <si>
    <t>Cliente</t>
  </si>
  <si>
    <t>Full Basics – PyME de indumentaria y textil (CABA)</t>
  </si>
  <si>
    <t>Proyecto evaluado</t>
  </si>
  <si>
    <t>Plataforma de atención omnicanal con IA (CRM omnicanal / mesa de ayuda)</t>
  </si>
  <si>
    <t>Proveedores</t>
  </si>
  <si>
    <t>ChatWoot vs. HubSpot Service Hub</t>
  </si>
  <si>
    <t>Fecha</t>
  </si>
  <si>
    <t>Junio 2026</t>
  </si>
  <si>
    <t>Contenido</t>
  </si>
  <si>
    <t>Este artefacto define la matriz RFP (aspectos, categorías e ítems con su ponderación y justificación) y las escalas de medición que se utilizarán para evaluar a los proveedores.</t>
  </si>
  <si>
    <t>Aspectos de evaluación y % de relevancia para Full Basics</t>
  </si>
  <si>
    <t>Aspecto (Nivel 0)</t>
  </si>
  <si>
    <t>Ponderación</t>
  </si>
  <si>
    <t>Justificación de la ponderación (caso Full Basics)</t>
  </si>
  <si>
    <t>Proveedor</t>
  </si>
  <si>
    <t>Full Basics es una PyME sin área de IT interna: necesita un proveedor confiable, pero al ser un proyecto acotado y de bajo riesgo la madurez del proveedor pesa menos que el ajuste de la solución. Por eso 15%.</t>
  </si>
  <si>
    <t>Funcional</t>
  </si>
  <si>
    <t>Aspecto de mayor peso (35%): el objetivo central es centralizar y profesionalizar la atención (WhatsApp como canal principal, omnicanalidad, tickets y automatización). El ajuste funcional define si se resuelve la brecha.</t>
  </si>
  <si>
    <t>Técnico</t>
  </si>
  <si>
    <t>25%: integrarse al stack actual (TiendaNube, Google Workspace, WhatsApp Business) y operar en la nube es importante para no sumar infraestructura, pero es habilitante, no el fin del proyecto.</t>
  </si>
  <si>
    <t>Económico</t>
  </si>
  <si>
    <t>25%: con recursos limitados, la sostenibilidad del costo (inicial y recurrente) es decisiva, a la par del aspecto técnico para no subordinar el ajuste funcional únicamente al precio.</t>
  </si>
  <si>
    <t>TOTAL</t>
  </si>
  <si>
    <t>La suma de los aspectos de Nivel 0 debe ser 100%.</t>
  </si>
  <si>
    <t>Escalas de medición del grado de cumplimiento</t>
  </si>
  <si>
    <t>Misma graduación de puntaje (100/80/60/30/0) en las 4 áreas; cambia el requisito de cada nivel. La escala económica es objetiva: mide el % de desvío del costo relevado vs. el presupuesto de referencia.</t>
  </si>
  <si>
    <t>Escala FUNCIONAL</t>
  </si>
  <si>
    <t>Escala TÉCNICA</t>
  </si>
  <si>
    <t>Referencia</t>
  </si>
  <si>
    <t>Nivel (Puntaje)</t>
  </si>
  <si>
    <t>Requisito</t>
  </si>
  <si>
    <t>Calificación</t>
  </si>
  <si>
    <t>Puntaje</t>
  </si>
  <si>
    <t>Excelente (100)</t>
  </si>
  <si>
    <t>Cumple nativamente la totalidad del requerimiento</t>
  </si>
  <si>
    <t>Cumple completamente los requisitos técnicos</t>
  </si>
  <si>
    <t>Excelente</t>
  </si>
  <si>
    <t>Muy bueno (80)</t>
  </si>
  <si>
    <t>Cumple mediante parametrización o configuración simple</t>
  </si>
  <si>
    <t>Cumple con ajustes menores de configuración</t>
  </si>
  <si>
    <t>Muy bueno</t>
  </si>
  <si>
    <t>Bueno (60)</t>
  </si>
  <si>
    <t>Cumple mediante integración estándar (API, plugin o conector)</t>
  </si>
  <si>
    <t>Requiere desarrollos/integraciones de baja complejidad</t>
  </si>
  <si>
    <t>Bueno</t>
  </si>
  <si>
    <t>Regular (30)</t>
  </si>
  <si>
    <t>Cumple parcialmente; limitaciones funcionales relevantes</t>
  </si>
  <si>
    <t>Cumple parcialmente; restricciones técnicas significativas</t>
  </si>
  <si>
    <t>Regular</t>
  </si>
  <si>
    <t>Deficiente (0)</t>
  </si>
  <si>
    <t>No cumple ni existe forma razonable de implementarlo</t>
  </si>
  <si>
    <t>No cumple los requisitos técnicos</t>
  </si>
  <si>
    <t>Deficiente</t>
  </si>
  <si>
    <t>Escala PROVEEDOR</t>
  </si>
  <si>
    <t>Escala ECONÓMICA (% de desvío vs. presupuesto)</t>
  </si>
  <si>
    <t>Alta trayectoria, soporte formal y amplia adopción</t>
  </si>
  <si>
    <t>Costo ≤ presupuesto (desvío ≤ 0%)</t>
  </si>
  <si>
    <t>Trayectoria consolidada y soporte adecuado</t>
  </si>
  <si>
    <t>Hasta 10% por encima del presupuesto</t>
  </si>
  <si>
    <t>Experiencia suficiente y soporte aceptable</t>
  </si>
  <si>
    <t>Entre 10% y 25% por encima</t>
  </si>
  <si>
    <t>Experiencia limitada o soporte reducido</t>
  </si>
  <si>
    <t>Entre 25% y 50% por encima</t>
  </si>
  <si>
    <t>Sin referencias o soporte insuficiente</t>
  </si>
  <si>
    <t>Más de 50% por encima o inviable</t>
  </si>
  <si>
    <t>RFP – Aspecto PROVEEDOR  (Ponderación Nivel 0: 15%)</t>
  </si>
  <si>
    <t>Peso global = % Aspecto × % Categoría (N1) × % Ítem (N2)   ·   Aporte ponderado = Puntaje × Peso global</t>
  </si>
  <si>
    <t>ChatWoot</t>
  </si>
  <si>
    <t>HubSpot Service Hub</t>
  </si>
  <si>
    <t>Categoría (N1) / Ítem (N2)</t>
  </si>
  <si>
    <t>Pond. N1</t>
  </si>
  <si>
    <t>Pond. N2</t>
  </si>
  <si>
    <t>Peso global</t>
  </si>
  <si>
    <t>Descripción del ítem</t>
  </si>
  <si>
    <t>Justificación de la ponderación (Full Basics)</t>
  </si>
  <si>
    <t>Aporte pond.</t>
  </si>
  <si>
    <t>Justificación de la calificación</t>
  </si>
  <si>
    <t>▸ A. Trayectoria y Experiencia</t>
  </si>
  <si>
    <t>Madurez del proveedor y experiencia en implementaciones similares.</t>
  </si>
  <si>
    <t>Para una PyME sin IT interno, un proveedor probado reduce el riesgo de implementación.</t>
  </si>
  <si>
    <t>1. Casos de éxito</t>
  </si>
  <si>
    <t>Cantidad y relevancia de implementaciones similares.</t>
  </si>
  <si>
    <t>Valida que la solución funcione en contextos como el de Full Basics.</t>
  </si>
  <si>
    <t>Amplia adopción en PyMEs y proyectos open-source.</t>
  </si>
  <si>
    <t>Líder global con miles de casos de mesa de ayuda.</t>
  </si>
  <si>
    <t>2. Años de experiencia</t>
  </si>
  <si>
    <t>Antigüedad del proveedor en el mercado.</t>
  </si>
  <si>
    <t>Refleja estabilidad y continuidad del soporte.</t>
  </si>
  <si>
    <t>Empresa más joven (2017) pero en crecimiento sostenido.</t>
  </si>
  <si>
    <t>Más de 15 años en el mercado (2006).</t>
  </si>
  <si>
    <t>3. Presencia internacional</t>
  </si>
  <si>
    <t>Alcance geográfico y nivel de adopción.</t>
  </si>
  <si>
    <t>Indica vigencia y capacidad de soporte a largo plazo.</t>
  </si>
  <si>
    <t>Presencia global creciente, menor adopción corporativa.</t>
  </si>
  <si>
    <t>Presencia consolidada en múltiples regiones.</t>
  </si>
  <si>
    <t>▸ B. Soporte y Comunidad</t>
  </si>
  <si>
    <t>Asistencia, documentación y recursos para el usuario.</t>
  </si>
  <si>
    <t>Full Basics no tiene IT y dependerá del soporte/documentación del proveedor.</t>
  </si>
  <si>
    <t>1. Soporte técnico</t>
  </si>
  <si>
    <t>Disponibilidad y calidad del soporte.</t>
  </si>
  <si>
    <t>Reduce el tiempo de resolución sin equipo interno.</t>
  </si>
  <si>
    <t>Soporte por comunidad/documentación; formal en planes pagos.</t>
  </si>
  <si>
    <t>Soporte formal por chat/email según plan.</t>
  </si>
  <si>
    <t>2. Comunidad y documentación</t>
  </si>
  <si>
    <t>Manuales, foros y documentación.</t>
  </si>
  <si>
    <t>Facilita la autogestión y reduce la dependencia.</t>
  </si>
  <si>
    <t>Comunidad open-source muy activa, documentación abundante.</t>
  </si>
  <si>
    <t>Documentación extensa y HubSpot Academy.</t>
  </si>
  <si>
    <t>3. Capacitación disponible</t>
  </si>
  <si>
    <t>Recursos de entrenamiento.</t>
  </si>
  <si>
    <t>Acelera la adopción del equipo de atención.</t>
  </si>
  <si>
    <t>Recursos disponibles, más limitados que grandes proveedores.</t>
  </si>
  <si>
    <t>Academy con cursos y certificaciones gratuitas.</t>
  </si>
  <si>
    <t>TOTAL APORTE PROVEEDOR</t>
  </si>
  <si>
    <t>pts. sobre 100 del puntaje final</t>
  </si>
  <si>
    <t>RFP – Aspecto FUNCIONAL  (Ponderación Nivel 0: 35%)</t>
  </si>
  <si>
    <t>▸ A. Gestión Omnicanal</t>
  </si>
  <si>
    <t>Centralizar interacciones de múltiples canales en una plataforma.</t>
  </si>
  <si>
    <t>Brecha central de Full Basics: hoy la atención está dispersa (WhatsApp, Instagram, web).</t>
  </si>
  <si>
    <t>1. Integración con WhatsApp</t>
  </si>
  <si>
    <t>Gestión centralizada de WhatsApp Business.</t>
  </si>
  <si>
    <t>WhatsApp es el canal principal de ventas y atención.</t>
  </si>
  <si>
    <t>Integración con WhatsApp Business API.</t>
  </si>
  <si>
    <t>Integra WhatsApp según plan/conector.</t>
  </si>
  <si>
    <t>2. Integración con otros canales</t>
  </si>
  <si>
    <t>Instagram, web chat y email.</t>
  </si>
  <si>
    <t>También recibe consultas por Instagram y la tienda online.</t>
  </si>
  <si>
    <t>Integra web chat, Facebook e Instagram con conectores.</t>
  </si>
  <si>
    <t>Integración nativa con múltiples canales.</t>
  </si>
  <si>
    <t>3. Bandeja unificada</t>
  </si>
  <si>
    <t>Visualización centralizada de conversaciones.</t>
  </si>
  <si>
    <t>Permite que pocas personas atiendan todos los canales.</t>
  </si>
  <si>
    <t>Centraliza todo en una única interfaz.</t>
  </si>
  <si>
    <t>Bandeja compartida con seguimiento unificado.</t>
  </si>
  <si>
    <t>▸ B. Gestión de la atención</t>
  </si>
  <si>
    <t>Administración de consultas, reclamos y seguimiento.</t>
  </si>
  <si>
    <t>Full Basics necesita profesionalizar la atención sin aumentar la estructura.</t>
  </si>
  <si>
    <t>1. Gestión de tickets</t>
  </si>
  <si>
    <t>Registro y seguimiento de consultas.</t>
  </si>
  <si>
    <t>Mejora el control sobre solicitudes pendientes.</t>
  </si>
  <si>
    <t>Tickets orientados a soporte conversacional.</t>
  </si>
  <si>
    <t>Tickets avanzados con flujos y SLAs.</t>
  </si>
  <si>
    <t>2. Historial de conversaciones</t>
  </si>
  <si>
    <t>Conservación del historial por cliente.</t>
  </si>
  <si>
    <t>Permite atención contextualizada.</t>
  </si>
  <si>
    <t>Historial completo por contacto.</t>
  </si>
  <si>
    <t>Historial integrado en la ficha CRM.</t>
  </si>
  <si>
    <t>3. Asignación de agentes</t>
  </si>
  <si>
    <t>Distribución de conversaciones.</t>
  </si>
  <si>
    <t>Organiza el trabajo del pequeño equipo.</t>
  </si>
  <si>
    <t>Asignación manual y reglas básicas.</t>
  </si>
  <si>
    <t>Asignación automática y balanceo de carga.</t>
  </si>
  <si>
    <t>▸ C. Automatización e IA</t>
  </si>
  <si>
    <t>Automatización de respuestas y asistencia por IA.</t>
  </si>
  <si>
    <t>Busca reducir tareas repetitivas y responder fuera de horario sin sumar personal.</t>
  </si>
  <si>
    <t>1. Chatbot / IA integrada</t>
  </si>
  <si>
    <t>Asistencia automática por IA.</t>
  </si>
  <si>
    <t>Atención continua y escalable sin crecer en estructura.</t>
  </si>
  <si>
    <t>IA 'Captain' en planes pagos / vía APIs.</t>
  </si>
  <si>
    <t>IA nativa en la plataforma.</t>
  </si>
  <si>
    <t>2. Automatización de respuestas</t>
  </si>
  <si>
    <t>Respuestas automáticas y flujos.</t>
  </si>
  <si>
    <t>Reduce la carga operativa en consultas frecuentes.</t>
  </si>
  <si>
    <t>Automatizaciones por reglas y macros.</t>
  </si>
  <si>
    <t>Automatizaciones (avanzadas en planes superiores).</t>
  </si>
  <si>
    <t>3. Reglas automáticas de derivación</t>
  </si>
  <si>
    <t>Asignación automática por criterios.</t>
  </si>
  <si>
    <t>Optimiza la distribución del trabajo.</t>
  </si>
  <si>
    <t>Reglas de enrutamiento básicas.</t>
  </si>
  <si>
    <t>Derivación más rica pero requiere configuración avanzada.</t>
  </si>
  <si>
    <t>TOTAL APORTE FUNCIONAL</t>
  </si>
  <si>
    <t>RFP – Aspecto TÉCNICO  (Ponderación Nivel 0: 25%)</t>
  </si>
  <si>
    <t>▸ A. Integración</t>
  </si>
  <si>
    <t>Interoperabilidad con los sistemas que ya usa Full Basics.</t>
  </si>
  <si>
    <t>Debe convivir con el stack actual (TiendaNube, Google Workspace, WhatsApp).</t>
  </si>
  <si>
    <t>1. APIs disponibles</t>
  </si>
  <si>
    <t>Disponibilidad y calidad de APIs.</t>
  </si>
  <si>
    <t>Habilita conectar la tienda online y futuras automatizaciones.</t>
  </si>
  <si>
    <t>APIs abiertas y bien documentadas (open-source).</t>
  </si>
  <si>
    <t>Ecosistema robusto de APIs REST.</t>
  </si>
  <si>
    <t>2. Integración con WhatsApp Business</t>
  </si>
  <si>
    <t>Compatibilidad con el canal principal.</t>
  </si>
  <si>
    <t>WhatsApp es crítico para la operación diaria.</t>
  </si>
  <si>
    <t>Integración orientada a omnicanalidad.</t>
  </si>
  <si>
    <t>Requiere conector/plan específico.</t>
  </si>
  <si>
    <t>3. Integración con Google Workspace</t>
  </si>
  <si>
    <t>Compatibilidad con Gmail, Drive y Sheets.</t>
  </si>
  <si>
    <t>Herramientas que Full Basics ya utiliza.</t>
  </si>
  <si>
    <t>Integra con Google vía APIs/conectores.</t>
  </si>
  <si>
    <t>Integración nativa con Gmail, Calendar y Drive.</t>
  </si>
  <si>
    <t>▸ B. Infraestructura</t>
  </si>
  <si>
    <t>Requerimientos tecnológicos para operar.</t>
  </si>
  <si>
    <t>Se busca minimizar inversión en infraestructura propia (escenario SaaS).</t>
  </si>
  <si>
    <t>1. Modalidad Cloud/SaaS</t>
  </si>
  <si>
    <t>Operación en la nube.</t>
  </si>
  <si>
    <t>Reduce costos operativos y administración.</t>
  </si>
  <si>
    <t>Disponible en SaaS y autogestionado.</t>
  </si>
  <si>
    <t>100% SaaS administrado por el proveedor.</t>
  </si>
  <si>
    <t>2. Escalabilidad técnica</t>
  </si>
  <si>
    <t>Capacidad de crecer en usuarios y volumen.</t>
  </si>
  <si>
    <t>Acompaña el objetivo de escalar +30% sin sumar estructura.</t>
  </si>
  <si>
    <t>Escalable para PyMEs/medianas vía cloud.</t>
  </si>
  <si>
    <t>Escala de pequeñas a grandes organizaciones.</t>
  </si>
  <si>
    <t>3. Requerimientos de hardware</t>
  </si>
  <si>
    <t>Equipamiento adicional necesario.</t>
  </si>
  <si>
    <t>Se busca reutilizar las PCs actuales.</t>
  </si>
  <si>
    <t>En SaaS no requiere hardware (VPS si se autohospeda).</t>
  </si>
  <si>
    <t>No requiere infraestructura propia.</t>
  </si>
  <si>
    <t>▸ C. Seguridad</t>
  </si>
  <si>
    <t>Protección y disponibilidad de la información.</t>
  </si>
  <si>
    <t>La información de clientes y ventas es un activo crítico.</t>
  </si>
  <si>
    <t>1. Gestión de usuarios y permisos</t>
  </si>
  <si>
    <t>Control de accesos por perfiles.</t>
  </si>
  <si>
    <t>Protege información sensible.</t>
  </si>
  <si>
    <t>Perfiles y permisos configurables.</t>
  </si>
  <si>
    <t>Roles y permisos (avanzados en planes superiores).</t>
  </si>
  <si>
    <t>2. Backups automáticos</t>
  </si>
  <si>
    <t>Respaldo y recuperación de datos.</t>
  </si>
  <si>
    <t>Garantiza continuidad ante incidentes.</t>
  </si>
  <si>
    <t>Gestionado en SaaS según modalidad.</t>
  </si>
  <si>
    <t>Respaldos automáticos por la plataforma.</t>
  </si>
  <si>
    <t>3. Disponibilidad del servicio</t>
  </si>
  <si>
    <t>Nivel de disponibilidad/SLA.</t>
  </si>
  <si>
    <t>Reduce interrupciones que afectan ventas.</t>
  </si>
  <si>
    <t>Alta disponibilidad, según infraestructura.</t>
  </si>
  <si>
    <t>SLA empresariales y alta disponibilidad.</t>
  </si>
  <si>
    <t>TOTAL APORTE TÉCNICO</t>
  </si>
  <si>
    <t>RFP – Aspecto ECONÓMICO  (Ponderación Nivel 0: 25%)  ·  Calificación objetiva por % de desvío</t>
  </si>
  <si>
    <t>Niveles y ponderación</t>
  </si>
  <si>
    <t>Descripción / métrica</t>
  </si>
  <si>
    <t>Presup. ref. (USD)</t>
  </si>
  <si>
    <t>Relevado (USD)</t>
  </si>
  <si>
    <t>% desvío</t>
  </si>
  <si>
    <t>▸ A. Costos Iniciales</t>
  </si>
  <si>
    <t>Inversiones para implementar la solución.</t>
  </si>
  <si>
    <t>1. Costo de implementación</t>
  </si>
  <si>
    <t>Consultoría+instalación+customización+migración (one-time).</t>
  </si>
  <si>
    <t>2. Costo de capacitación</t>
  </si>
  <si>
    <t>Formación inicial de usuarios (anual).</t>
  </si>
  <si>
    <t>3. Costos de infraestructura</t>
  </si>
  <si>
    <t>Hardware/infra complementaria (one-time).</t>
  </si>
  <si>
    <t>▸ B. Costos Operativos</t>
  </si>
  <si>
    <t>Costos recurrentes de la solución.</t>
  </si>
  <si>
    <t>1. Licenciamiento anual</t>
  </si>
  <si>
    <t>Suscripción anual (3 agentes/seats).</t>
  </si>
  <si>
    <t>2. Costos de mantenimiento</t>
  </si>
  <si>
    <t>Soporte/administración anual.</t>
  </si>
  <si>
    <t>3. Escalabilidad económica</t>
  </si>
  <si>
    <t>Costo de agregar 1 usuario/mes (USD).</t>
  </si>
  <si>
    <t>TOTAL APORTE ECONÓMICO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</si>
</sst>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\$#,##0"/>
  </numFmts>
  <fonts count="16">
    <font>
      <sz val="11"/>
      <color theme="1"/>
      <name val="Calibri"/>
      <family val="2"/>
      <charset val="1"/>
    </font>
    <font>
      <b/>
      <sz val="16"/>
      <color rgb="FFFFFFFF"/>
      <name val="Arial"/>
      <charset val="1"/>
    </font>
    <font>
      <b/>
      <sz val="10"/>
      <color rgb="FF000000"/>
      <name val="Arial"/>
      <family val="2"/>
      <charset val="1"/>
    </font>
    <font>
      <b/>
      <sz val="10"/>
      <color rgb="FF000000"/>
      <name val="Arial"/>
      <charset val="1"/>
    </font>
    <font>
      <sz val="10"/>
      <color rgb="FF000000"/>
      <name val="Arial"/>
      <charset val="1"/>
    </font>
    <font>
      <b/>
      <sz val="12"/>
      <color rgb="FFFFFFFF"/>
      <name val="Arial"/>
      <charset val="1"/>
    </font>
    <font>
      <b/>
      <sz val="13"/>
      <color rgb="FFFFFFFF"/>
      <name val="Arial"/>
      <charset val="1"/>
    </font>
    <font>
      <b/>
      <sz val="9"/>
      <color rgb="FFFFFFFF"/>
      <name val="Arial"/>
      <charset val="1"/>
    </font>
    <font>
      <b/>
      <sz val="10"/>
      <color rgb="FFFFFFFF"/>
      <name val="Arial"/>
      <charset val="1"/>
    </font>
    <font>
      <sz val="10"/>
      <color rgb="FFFFFFFF"/>
      <name val="Arial"/>
      <charset val="1"/>
    </font>
    <font>
      <b/>
      <sz val="11"/>
      <color rgb="FFFFFFFF"/>
      <name val="Arial"/>
      <charset val="1"/>
    </font>
    <font>
      <b/>
      <sz val="9"/>
      <color rgb="FFFFFFFF"/>
      <name val="Arial"/>
      <family val="2"/>
      <charset val="1"/>
    </font>
    <font>
      <b/>
      <sz val="10"/>
      <color theme="0"/>
      <name val="Arial"/>
      <family val="2"/>
      <charset val="1"/>
    </font>
    <font>
      <sz val="10"/>
      <color theme="0"/>
      <name val="Arial"/>
      <family val="2"/>
      <charset val="1"/>
    </font>
    <font>
      <u/>
      <sz val="11"/>
      <color theme="1"/>
      <name val="Calibri"/>
      <family val="2"/>
      <charset val="1"/>
    </font>
    <font>
      <b/>
      <sz val="9"/>
      <color theme="0"/>
      <name val="Arial"/>
      <family val="2"/>
      <charset val="1"/>
    </font>
  </fonts>
  <fills count="12">
    <fill>
      <patternFill patternType="none"/>
    </fill>
    <fill>
      <patternFill patternType="gray125"/>
    </fill>
    <fill>
      <patternFill patternType="solid">
        <fgColor rgb="FF1F3864"/>
        <bgColor rgb="FF17375E"/>
      </patternFill>
    </fill>
    <fill>
      <patternFill patternType="solid">
        <fgColor rgb="FFD9E1F2"/>
        <bgColor rgb="FFF2F2F2"/>
      </patternFill>
    </fill>
    <fill>
      <patternFill patternType="solid">
        <fgColor rgb="FFF2F2F2"/>
        <bgColor rgb="FFFFFFFF"/>
      </patternFill>
    </fill>
    <fill>
      <patternFill patternType="solid">
        <fgColor rgb="FF2E5496"/>
        <bgColor rgb="FF376092"/>
      </patternFill>
    </fill>
    <fill>
      <patternFill patternType="solid">
        <fgColor rgb="FFFFF2CC"/>
        <bgColor rgb="FFF2F2F2"/>
      </patternFill>
    </fill>
    <fill>
      <patternFill patternType="solid">
        <fgColor rgb="FF375623"/>
        <bgColor rgb="FF1F3864"/>
      </patternFill>
    </fill>
    <fill>
      <patternFill patternType="solid">
        <fgColor theme="3" tint="0.39988402966399123"/>
        <bgColor rgb="FF3366FF"/>
      </patternFill>
    </fill>
    <fill>
      <patternFill patternType="solid">
        <fgColor theme="3" tint="-0.249977111117893"/>
        <bgColor rgb="FF1F3864"/>
      </patternFill>
    </fill>
    <fill>
      <patternFill patternType="solid">
        <fgColor theme="3" tint="0.59987182226020086"/>
        <bgColor rgb="FF9999FF"/>
      </patternFill>
    </fill>
    <fill>
      <patternFill patternType="solid">
        <fgColor theme="4" tint="-0.249977111117893"/>
        <bgColor rgb="FF2E5496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/>
      <bottom style="thin">
        <color rgb="FFBFBFBF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3" fillId="3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3" fillId="6" borderId="1" xfId="0" applyFont="1" applyFill="1" applyBorder="1" applyAlignment="1">
      <alignment horizontal="left" vertical="center" wrapText="1"/>
    </xf>
    <xf numFmtId="0" fontId="7" fillId="5" borderId="1" xfId="0" applyFont="1" applyFill="1" applyBorder="1" applyAlignment="1">
      <alignment horizontal="center" vertical="center" wrapText="1"/>
    </xf>
    <xf numFmtId="9" fontId="4" fillId="3" borderId="1" xfId="0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left" vertical="center" wrapText="1"/>
    </xf>
    <xf numFmtId="9" fontId="8" fillId="2" borderId="1" xfId="0" applyNumberFormat="1" applyFont="1" applyFill="1" applyBorder="1" applyAlignment="1">
      <alignment horizontal="center"/>
    </xf>
    <xf numFmtId="0" fontId="9" fillId="2" borderId="1" xfId="0" applyFont="1" applyFill="1" applyBorder="1" applyAlignment="1">
      <alignment horizontal="left" vertical="center" wrapText="1"/>
    </xf>
    <xf numFmtId="0" fontId="7" fillId="5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 wrapText="1"/>
    </xf>
    <xf numFmtId="0" fontId="7" fillId="9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center" wrapText="1"/>
    </xf>
    <xf numFmtId="9" fontId="4" fillId="0" borderId="1" xfId="0" applyNumberFormat="1" applyFont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center" vertical="center" wrapText="1"/>
    </xf>
    <xf numFmtId="0" fontId="13" fillId="10" borderId="1" xfId="0" applyFont="1" applyFill="1" applyBorder="1" applyAlignment="1">
      <alignment horizontal="center" vertical="center" wrapText="1"/>
    </xf>
    <xf numFmtId="2" fontId="13" fillId="10" borderId="1" xfId="0" applyNumberFormat="1" applyFont="1" applyFill="1" applyBorder="1" applyAlignment="1">
      <alignment horizontal="center" vertical="center" wrapText="1"/>
    </xf>
    <xf numFmtId="0" fontId="13" fillId="10" borderId="1" xfId="0" applyFont="1" applyFill="1" applyBorder="1" applyAlignment="1">
      <alignment horizontal="left" vertical="center" wrapText="1"/>
    </xf>
    <xf numFmtId="0" fontId="13" fillId="11" borderId="1" xfId="0" applyFont="1" applyFill="1" applyBorder="1" applyAlignment="1">
      <alignment horizontal="center" vertical="center" wrapText="1"/>
    </xf>
    <xf numFmtId="2" fontId="13" fillId="11" borderId="1" xfId="0" applyNumberFormat="1" applyFont="1" applyFill="1" applyBorder="1" applyAlignment="1">
      <alignment horizontal="center" vertical="center" wrapText="1"/>
    </xf>
    <xf numFmtId="0" fontId="13" fillId="11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13" fillId="2" borderId="1" xfId="0" applyFont="1" applyFill="1" applyBorder="1" applyAlignment="1">
      <alignment horizontal="left" vertical="center" wrapText="1"/>
    </xf>
    <xf numFmtId="0" fontId="13" fillId="2" borderId="1" xfId="0" applyFont="1" applyFill="1" applyBorder="1" applyAlignment="1">
      <alignment horizontal="center" vertical="center" wrapText="1"/>
    </xf>
    <xf numFmtId="0" fontId="14" fillId="0" borderId="0" xfId="0" applyFont="1"/>
    <xf numFmtId="0" fontId="15" fillId="9" borderId="1" xfId="0" applyFont="1" applyFill="1" applyBorder="1" applyAlignment="1">
      <alignment horizontal="center" vertical="center" wrapText="1"/>
    </xf>
    <xf numFmtId="2" fontId="8" fillId="2" borderId="1" xfId="0" applyNumberFormat="1" applyFont="1" applyFill="1" applyBorder="1" applyAlignment="1">
      <alignment horizontal="center" vertical="center" wrapText="1"/>
    </xf>
    <xf numFmtId="0" fontId="15" fillId="8" borderId="1" xfId="0" applyFont="1" applyFill="1" applyBorder="1" applyAlignment="1">
      <alignment horizontal="center" vertical="center" wrapText="1"/>
    </xf>
    <xf numFmtId="165" fontId="13" fillId="10" borderId="1" xfId="0" applyNumberFormat="1" applyFont="1" applyFill="1" applyBorder="1" applyAlignment="1">
      <alignment horizontal="center" vertical="center" wrapText="1"/>
    </xf>
    <xf numFmtId="164" fontId="13" fillId="10" borderId="1" xfId="0" applyNumberFormat="1" applyFont="1" applyFill="1" applyBorder="1" applyAlignment="1">
      <alignment horizontal="center" vertical="center" wrapText="1"/>
    </xf>
    <xf numFmtId="165" fontId="13" fillId="11" borderId="1" xfId="0" applyNumberFormat="1" applyFont="1" applyFill="1" applyBorder="1" applyAlignment="1">
      <alignment horizontal="center" vertical="center" wrapText="1"/>
    </xf>
    <xf numFmtId="164" fontId="13" fillId="11" borderId="1" xfId="0" applyNumberFormat="1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12" fillId="8" borderId="1" xfId="0" applyFont="1" applyFill="1" applyBorder="1" applyAlignment="1">
      <alignment horizontal="center" vertical="center" wrapText="1"/>
    </xf>
    <xf numFmtId="0" fontId="12" fillId="9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5" fillId="5" borderId="0" xfId="0" applyFont="1" applyFill="1" applyAlignment="1">
      <alignment horizontal="left" vertical="center" wrapText="1"/>
    </xf>
    <xf numFmtId="0" fontId="1" fillId="2" borderId="0" xfId="0" applyFont="1" applyFill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6" fillId="2" borderId="0" xfId="0" applyFont="1" applyFill="1" applyAlignment="1">
      <alignment horizontal="left" vertical="center" wrapText="1"/>
    </xf>
    <xf numFmtId="0" fontId="10" fillId="5" borderId="0" xfId="0" applyFont="1" applyFill="1" applyAlignment="1">
      <alignment horizontal="left" vertical="center" wrapText="1"/>
    </xf>
    <xf numFmtId="0" fontId="10" fillId="7" borderId="0" xfId="0" applyFont="1" applyFill="1" applyAlignment="1">
      <alignment horizontal="left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11" fillId="5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558ED5"/>
      <rgbColor rgb="FF9999FF"/>
      <rgbColor rgb="FF993366"/>
      <rgbColor rgb="FFFFF2CC"/>
      <rgbColor rgb="FFF2F2F2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8EB4E3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376092"/>
      <rgbColor rgb="FF969696"/>
      <rgbColor rgb="FF17375E"/>
      <rgbColor rgb="FF339966"/>
      <rgbColor rgb="FF003300"/>
      <rgbColor rgb="FF375623"/>
      <rgbColor rgb="FF993300"/>
      <rgbColor rgb="FF993366"/>
      <rgbColor rgb="FF2E5496"/>
      <rgbColor rgb="FF1F386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G12"/>
  <sheetViews>
    <sheetView showGridLines="0" zoomScaleNormal="100" workbookViewId="0">
      <selection activeCell="C14" sqref="C14"/>
    </sheetView>
  </sheetViews>
  <sheetFormatPr defaultColWidth="8.7109375" defaultRowHeight="15"/>
  <cols>
    <col min="1" max="1" width="2" customWidth="1"/>
    <col min="2" max="2" width="34" customWidth="1"/>
    <col min="3" max="6" width="20" customWidth="1"/>
    <col min="7" max="7" width="14" customWidth="1"/>
  </cols>
  <sheetData>
    <row r="2" spans="2:7" ht="30" customHeight="1">
      <c r="B2" s="42" t="s">
        <v>0</v>
      </c>
      <c r="C2" s="42"/>
      <c r="D2" s="42"/>
      <c r="E2" s="42"/>
      <c r="F2" s="42"/>
      <c r="G2" s="42"/>
    </row>
    <row r="3" spans="2:7" ht="15" customHeight="1">
      <c r="B3" s="43" t="s">
        <v>1</v>
      </c>
      <c r="C3" s="43"/>
      <c r="D3" s="43"/>
      <c r="E3" s="43"/>
      <c r="F3" s="43"/>
      <c r="G3" s="43"/>
    </row>
    <row r="5" spans="2:7" ht="15" customHeight="1">
      <c r="B5" s="3" t="s">
        <v>2</v>
      </c>
      <c r="C5" s="40" t="s">
        <v>3</v>
      </c>
      <c r="D5" s="40"/>
      <c r="E5" s="40"/>
      <c r="F5" s="40"/>
      <c r="G5" s="40"/>
    </row>
    <row r="6" spans="2:7" ht="15" customHeight="1">
      <c r="B6" s="3" t="s">
        <v>4</v>
      </c>
      <c r="C6" s="40" t="s">
        <v>5</v>
      </c>
      <c r="D6" s="40"/>
      <c r="E6" s="40"/>
      <c r="F6" s="40"/>
      <c r="G6" s="40"/>
    </row>
    <row r="7" spans="2:7" ht="15" customHeight="1">
      <c r="B7" s="3" t="s">
        <v>6</v>
      </c>
      <c r="C7" s="40" t="s">
        <v>7</v>
      </c>
      <c r="D7" s="40"/>
      <c r="E7" s="40"/>
      <c r="F7" s="40"/>
      <c r="G7" s="40"/>
    </row>
    <row r="8" spans="2:7" ht="15" customHeight="1">
      <c r="B8" s="3" t="s">
        <v>8</v>
      </c>
      <c r="C8" s="40" t="s">
        <v>9</v>
      </c>
      <c r="D8" s="40"/>
      <c r="E8" s="40"/>
      <c r="F8" s="40"/>
      <c r="G8" s="40"/>
    </row>
    <row r="9" spans="2:7" ht="15" customHeight="1">
      <c r="B9" s="3" t="s">
        <v>10</v>
      </c>
      <c r="C9" s="40" t="s">
        <v>11</v>
      </c>
      <c r="D9" s="40"/>
      <c r="E9" s="40"/>
      <c r="F9" s="40"/>
      <c r="G9" s="40"/>
    </row>
    <row r="11" spans="2:7" ht="15" customHeight="1">
      <c r="B11" s="41" t="s">
        <v>12</v>
      </c>
      <c r="C11" s="41"/>
      <c r="D11" s="41"/>
      <c r="E11" s="41"/>
      <c r="F11" s="41"/>
      <c r="G11" s="41"/>
    </row>
    <row r="12" spans="2:7" ht="96" customHeight="1">
      <c r="B12" s="4" t="s">
        <v>13</v>
      </c>
      <c r="C12" s="40"/>
      <c r="D12" s="40"/>
      <c r="E12" s="40"/>
      <c r="F12" s="40"/>
      <c r="G12" s="40"/>
    </row>
  </sheetData>
  <mergeCells count="9">
    <mergeCell ref="C8:G8"/>
    <mergeCell ref="C9:G9"/>
    <mergeCell ref="B11:G11"/>
    <mergeCell ref="C12:G12"/>
    <mergeCell ref="B2:G2"/>
    <mergeCell ref="B3:G3"/>
    <mergeCell ref="C5:G5"/>
    <mergeCell ref="C6:G6"/>
    <mergeCell ref="C7:G7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D8"/>
  <sheetViews>
    <sheetView showGridLines="0" zoomScaleNormal="100" workbookViewId="0">
      <selection activeCell="C14" sqref="C14"/>
    </sheetView>
  </sheetViews>
  <sheetFormatPr defaultColWidth="8.7109375" defaultRowHeight="15"/>
  <cols>
    <col min="1" max="1" width="2" customWidth="1"/>
    <col min="2" max="2" width="18" customWidth="1"/>
    <col min="3" max="3" width="13" customWidth="1"/>
    <col min="4" max="4" width="62" customWidth="1"/>
  </cols>
  <sheetData>
    <row r="2" spans="2:4" ht="25.5" customHeight="1">
      <c r="B2" s="44" t="s">
        <v>14</v>
      </c>
      <c r="C2" s="44"/>
      <c r="D2" s="44"/>
    </row>
    <row r="3" spans="2:4">
      <c r="B3" s="5" t="s">
        <v>15</v>
      </c>
      <c r="C3" s="5" t="s">
        <v>16</v>
      </c>
      <c r="D3" s="5" t="s">
        <v>17</v>
      </c>
    </row>
    <row r="4" spans="2:4" ht="60" customHeight="1">
      <c r="B4" s="1" t="s">
        <v>18</v>
      </c>
      <c r="C4" s="6">
        <v>0.15</v>
      </c>
      <c r="D4" s="2" t="s">
        <v>19</v>
      </c>
    </row>
    <row r="5" spans="2:4" ht="60" customHeight="1">
      <c r="B5" s="1" t="s">
        <v>20</v>
      </c>
      <c r="C5" s="6">
        <v>0.35</v>
      </c>
      <c r="D5" s="2" t="s">
        <v>21</v>
      </c>
    </row>
    <row r="6" spans="2:4" ht="60" customHeight="1">
      <c r="B6" s="1" t="s">
        <v>22</v>
      </c>
      <c r="C6" s="6">
        <v>0.25</v>
      </c>
      <c r="D6" s="2" t="s">
        <v>23</v>
      </c>
    </row>
    <row r="7" spans="2:4" ht="60" customHeight="1">
      <c r="B7" s="1" t="s">
        <v>24</v>
      </c>
      <c r="C7" s="6">
        <v>0.25</v>
      </c>
      <c r="D7" s="2" t="s">
        <v>25</v>
      </c>
    </row>
    <row r="8" spans="2:4">
      <c r="B8" s="7" t="s">
        <v>26</v>
      </c>
      <c r="C8" s="8">
        <f>SUM(C4:C7)</f>
        <v>1</v>
      </c>
      <c r="D8" s="9" t="s">
        <v>27</v>
      </c>
    </row>
  </sheetData>
  <mergeCells count="1">
    <mergeCell ref="B2:D2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I19"/>
  <sheetViews>
    <sheetView showGridLines="0" zoomScaleNormal="100" workbookViewId="0">
      <selection activeCell="B3" sqref="B3:F3"/>
    </sheetView>
  </sheetViews>
  <sheetFormatPr defaultColWidth="8.7109375" defaultRowHeight="15"/>
  <cols>
    <col min="1" max="1" width="2" customWidth="1"/>
    <col min="2" max="2" width="16" customWidth="1"/>
    <col min="3" max="3" width="58" customWidth="1"/>
    <col min="4" max="4" width="2" customWidth="1"/>
    <col min="5" max="5" width="16" customWidth="1"/>
    <col min="6" max="6" width="58" customWidth="1"/>
    <col min="8" max="8" width="10.42578125" customWidth="1"/>
  </cols>
  <sheetData>
    <row r="2" spans="2:9" ht="24" customHeight="1">
      <c r="B2" s="44" t="s">
        <v>28</v>
      </c>
      <c r="C2" s="44"/>
      <c r="D2" s="44"/>
      <c r="E2" s="44"/>
      <c r="F2" s="44"/>
    </row>
    <row r="3" spans="2:9" ht="30" customHeight="1">
      <c r="B3" s="47" t="s">
        <v>29</v>
      </c>
      <c r="C3" s="47"/>
      <c r="D3" s="47"/>
      <c r="E3" s="47"/>
      <c r="F3" s="47"/>
    </row>
    <row r="5" spans="2:9" ht="15" customHeight="1">
      <c r="B5" s="45" t="s">
        <v>30</v>
      </c>
      <c r="C5" s="45"/>
      <c r="E5" s="45" t="s">
        <v>31</v>
      </c>
      <c r="F5" s="45"/>
      <c r="H5" s="48" t="s">
        <v>32</v>
      </c>
      <c r="I5" s="48"/>
    </row>
    <row r="6" spans="2:9">
      <c r="B6" s="5" t="s">
        <v>33</v>
      </c>
      <c r="C6" s="5" t="s">
        <v>34</v>
      </c>
      <c r="E6" s="5" t="s">
        <v>33</v>
      </c>
      <c r="F6" s="5" t="s">
        <v>34</v>
      </c>
      <c r="H6" s="10" t="s">
        <v>35</v>
      </c>
      <c r="I6" s="10" t="s">
        <v>36</v>
      </c>
    </row>
    <row r="7" spans="2:9" ht="30" customHeight="1">
      <c r="B7" s="11" t="s">
        <v>37</v>
      </c>
      <c r="C7" s="2" t="s">
        <v>38</v>
      </c>
      <c r="E7" s="11" t="s">
        <v>37</v>
      </c>
      <c r="F7" s="2" t="s">
        <v>39</v>
      </c>
      <c r="H7" s="12" t="s">
        <v>40</v>
      </c>
      <c r="I7" s="13">
        <v>100</v>
      </c>
    </row>
    <row r="8" spans="2:9" ht="30" customHeight="1">
      <c r="B8" s="11" t="s">
        <v>41</v>
      </c>
      <c r="C8" s="2" t="s">
        <v>42</v>
      </c>
      <c r="E8" s="11" t="s">
        <v>41</v>
      </c>
      <c r="F8" s="2" t="s">
        <v>43</v>
      </c>
      <c r="H8" s="12" t="s">
        <v>44</v>
      </c>
      <c r="I8" s="13">
        <v>80</v>
      </c>
    </row>
    <row r="9" spans="2:9" ht="30" customHeight="1">
      <c r="B9" s="11" t="s">
        <v>45</v>
      </c>
      <c r="C9" s="2" t="s">
        <v>46</v>
      </c>
      <c r="E9" s="11" t="s">
        <v>45</v>
      </c>
      <c r="F9" s="2" t="s">
        <v>47</v>
      </c>
      <c r="H9" s="12" t="s">
        <v>48</v>
      </c>
      <c r="I9" s="13">
        <v>60</v>
      </c>
    </row>
    <row r="10" spans="2:9" ht="30" customHeight="1">
      <c r="B10" s="11" t="s">
        <v>49</v>
      </c>
      <c r="C10" s="2" t="s">
        <v>50</v>
      </c>
      <c r="E10" s="11" t="s">
        <v>49</v>
      </c>
      <c r="F10" s="2" t="s">
        <v>51</v>
      </c>
      <c r="H10" s="12" t="s">
        <v>52</v>
      </c>
      <c r="I10" s="13">
        <v>30</v>
      </c>
    </row>
    <row r="11" spans="2:9" ht="30" customHeight="1">
      <c r="B11" s="11" t="s">
        <v>53</v>
      </c>
      <c r="C11" s="2" t="s">
        <v>54</v>
      </c>
      <c r="E11" s="11" t="s">
        <v>53</v>
      </c>
      <c r="F11" s="2" t="s">
        <v>55</v>
      </c>
      <c r="H11" s="12" t="s">
        <v>56</v>
      </c>
      <c r="I11" s="13">
        <v>0</v>
      </c>
    </row>
    <row r="13" spans="2:9" ht="15" customHeight="1">
      <c r="B13" s="45" t="s">
        <v>57</v>
      </c>
      <c r="C13" s="45"/>
      <c r="E13" s="46" t="s">
        <v>58</v>
      </c>
      <c r="F13" s="46"/>
    </row>
    <row r="14" spans="2:9">
      <c r="B14" s="5" t="s">
        <v>33</v>
      </c>
      <c r="C14" s="5" t="s">
        <v>34</v>
      </c>
      <c r="E14" s="5" t="s">
        <v>33</v>
      </c>
      <c r="F14" s="5" t="s">
        <v>34</v>
      </c>
    </row>
    <row r="15" spans="2:9" ht="30" customHeight="1">
      <c r="B15" s="11" t="s">
        <v>37</v>
      </c>
      <c r="C15" s="2" t="s">
        <v>59</v>
      </c>
      <c r="E15" s="11" t="s">
        <v>37</v>
      </c>
      <c r="F15" s="2" t="s">
        <v>60</v>
      </c>
    </row>
    <row r="16" spans="2:9" ht="30" customHeight="1">
      <c r="B16" s="11" t="s">
        <v>41</v>
      </c>
      <c r="C16" s="2" t="s">
        <v>61</v>
      </c>
      <c r="E16" s="11" t="s">
        <v>41</v>
      </c>
      <c r="F16" s="2" t="s">
        <v>62</v>
      </c>
    </row>
    <row r="17" spans="2:6" ht="30" customHeight="1">
      <c r="B17" s="11" t="s">
        <v>45</v>
      </c>
      <c r="C17" s="2" t="s">
        <v>63</v>
      </c>
      <c r="E17" s="11" t="s">
        <v>45</v>
      </c>
      <c r="F17" s="2" t="s">
        <v>64</v>
      </c>
    </row>
    <row r="18" spans="2:6" ht="30" customHeight="1">
      <c r="B18" s="11" t="s">
        <v>49</v>
      </c>
      <c r="C18" s="2" t="s">
        <v>65</v>
      </c>
      <c r="E18" s="11" t="s">
        <v>49</v>
      </c>
      <c r="F18" s="2" t="s">
        <v>66</v>
      </c>
    </row>
    <row r="19" spans="2:6" ht="30" customHeight="1">
      <c r="B19" s="11" t="s">
        <v>53</v>
      </c>
      <c r="C19" s="2" t="s">
        <v>67</v>
      </c>
      <c r="E19" s="11" t="s">
        <v>53</v>
      </c>
      <c r="F19" s="2" t="s">
        <v>68</v>
      </c>
    </row>
  </sheetData>
  <mergeCells count="7">
    <mergeCell ref="H5:I5"/>
    <mergeCell ref="B13:C13"/>
    <mergeCell ref="E13:F13"/>
    <mergeCell ref="B2:F2"/>
    <mergeCell ref="B3:F3"/>
    <mergeCell ref="B5:C5"/>
    <mergeCell ref="E5:F5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O16"/>
  <sheetViews>
    <sheetView showGridLines="0" zoomScaleNormal="100" workbookViewId="0">
      <selection activeCell="H6" sqref="H6"/>
    </sheetView>
  </sheetViews>
  <sheetFormatPr defaultColWidth="8.7109375" defaultRowHeight="15"/>
  <cols>
    <col min="1" max="1" width="2" customWidth="1"/>
    <col min="2" max="2" width="30" customWidth="1"/>
    <col min="3" max="4" width="8" customWidth="1"/>
    <col min="5" max="5" width="9" customWidth="1"/>
    <col min="6" max="6" width="33" customWidth="1"/>
    <col min="7" max="7" width="34" customWidth="1"/>
    <col min="8" max="8" width="12" customWidth="1"/>
    <col min="9" max="9" width="8" customWidth="1"/>
    <col min="10" max="10" width="10" customWidth="1"/>
    <col min="11" max="11" width="33" customWidth="1"/>
    <col min="12" max="12" width="12" customWidth="1"/>
    <col min="13" max="13" width="8" customWidth="1"/>
    <col min="14" max="14" width="10" customWidth="1"/>
    <col min="15" max="15" width="33" customWidth="1"/>
  </cols>
  <sheetData>
    <row r="2" spans="2:15" ht="24" customHeight="1">
      <c r="B2" s="44" t="s">
        <v>69</v>
      </c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</row>
    <row r="3" spans="2:15" ht="15" customHeight="1">
      <c r="B3" s="37" t="s">
        <v>70</v>
      </c>
      <c r="C3" s="37"/>
      <c r="D3" s="37"/>
      <c r="E3" s="37"/>
      <c r="F3" s="37"/>
      <c r="G3" s="37"/>
      <c r="H3" s="38" t="s">
        <v>71</v>
      </c>
      <c r="I3" s="38"/>
      <c r="J3" s="38"/>
      <c r="K3" s="38"/>
      <c r="L3" s="39" t="s">
        <v>72</v>
      </c>
      <c r="M3" s="39"/>
      <c r="N3" s="39"/>
      <c r="O3" s="39"/>
    </row>
    <row r="4" spans="2:15" ht="39.75" customHeight="1">
      <c r="B4" s="5" t="s">
        <v>73</v>
      </c>
      <c r="C4" s="5" t="s">
        <v>74</v>
      </c>
      <c r="D4" s="5" t="s">
        <v>75</v>
      </c>
      <c r="E4" s="5" t="s">
        <v>76</v>
      </c>
      <c r="F4" s="5" t="s">
        <v>77</v>
      </c>
      <c r="G4" s="5" t="s">
        <v>78</v>
      </c>
      <c r="H4" s="14" t="s">
        <v>35</v>
      </c>
      <c r="I4" s="14" t="s">
        <v>36</v>
      </c>
      <c r="J4" s="14" t="s">
        <v>79</v>
      </c>
      <c r="K4" s="14" t="s">
        <v>80</v>
      </c>
      <c r="L4" s="15" t="s">
        <v>35</v>
      </c>
      <c r="M4" s="15" t="s">
        <v>36</v>
      </c>
      <c r="N4" s="15" t="s">
        <v>79</v>
      </c>
      <c r="O4" s="15" t="s">
        <v>80</v>
      </c>
    </row>
    <row r="5" spans="2:15" ht="45.75" customHeight="1">
      <c r="B5" s="1" t="s">
        <v>81</v>
      </c>
      <c r="C5" s="6">
        <v>0.5</v>
      </c>
      <c r="D5" s="16"/>
      <c r="E5" s="16"/>
      <c r="F5" s="16" t="s">
        <v>82</v>
      </c>
      <c r="G5" s="16" t="s">
        <v>83</v>
      </c>
      <c r="H5" s="16"/>
      <c r="I5" s="16"/>
      <c r="J5" s="16"/>
      <c r="K5" s="16"/>
      <c r="L5" s="16"/>
      <c r="M5" s="16"/>
      <c r="N5" s="16"/>
      <c r="O5" s="16"/>
    </row>
    <row r="6" spans="2:15" ht="42" customHeight="1">
      <c r="B6" s="2" t="s">
        <v>84</v>
      </c>
      <c r="D6" s="17">
        <v>0.4</v>
      </c>
      <c r="E6" s="18">
        <f>0.15*$C$5*D6</f>
        <v>0.03</v>
      </c>
      <c r="F6" s="2" t="s">
        <v>85</v>
      </c>
      <c r="G6" s="2" t="s">
        <v>86</v>
      </c>
      <c r="H6" s="19" t="s">
        <v>44</v>
      </c>
      <c r="I6" s="19">
        <f>VLOOKUP(H6,Escalas!$H$7:$I$11,2,FALSE())</f>
        <v>80</v>
      </c>
      <c r="J6" s="20">
        <f>I6*E6</f>
        <v>2.4</v>
      </c>
      <c r="K6" s="21" t="s">
        <v>87</v>
      </c>
      <c r="L6" s="22" t="s">
        <v>40</v>
      </c>
      <c r="M6" s="22">
        <f>VLOOKUP(L6,Escalas!$H$7:$I$11,2,FALSE())</f>
        <v>100</v>
      </c>
      <c r="N6" s="23">
        <f>M6*E6</f>
        <v>3</v>
      </c>
      <c r="O6" s="24" t="s">
        <v>88</v>
      </c>
    </row>
    <row r="7" spans="2:15" ht="42" customHeight="1">
      <c r="B7" s="2" t="s">
        <v>89</v>
      </c>
      <c r="D7" s="17">
        <v>0.3</v>
      </c>
      <c r="E7" s="18">
        <f>0.15*$C$5*D7</f>
        <v>2.2499999999999999E-2</v>
      </c>
      <c r="F7" s="2" t="s">
        <v>90</v>
      </c>
      <c r="G7" s="2" t="s">
        <v>91</v>
      </c>
      <c r="H7" s="19" t="s">
        <v>48</v>
      </c>
      <c r="I7" s="19">
        <f>VLOOKUP(H7,Escalas!$H$7:$I$11,2,FALSE())</f>
        <v>60</v>
      </c>
      <c r="J7" s="20">
        <f>I7*E7</f>
        <v>1.3499999999999999</v>
      </c>
      <c r="K7" s="21" t="s">
        <v>92</v>
      </c>
      <c r="L7" s="22" t="s">
        <v>40</v>
      </c>
      <c r="M7" s="22">
        <f>VLOOKUP(L7,Escalas!$H$7:$I$11,2,FALSE())</f>
        <v>100</v>
      </c>
      <c r="N7" s="23">
        <f>M7*E7</f>
        <v>2.25</v>
      </c>
      <c r="O7" s="24" t="s">
        <v>93</v>
      </c>
    </row>
    <row r="8" spans="2:15" ht="42" customHeight="1">
      <c r="B8" s="2" t="s">
        <v>94</v>
      </c>
      <c r="D8" s="17">
        <v>0.3</v>
      </c>
      <c r="E8" s="18">
        <f>0.15*$C$5*D8</f>
        <v>2.2499999999999999E-2</v>
      </c>
      <c r="F8" s="2" t="s">
        <v>95</v>
      </c>
      <c r="G8" s="2" t="s">
        <v>96</v>
      </c>
      <c r="H8" s="19" t="s">
        <v>48</v>
      </c>
      <c r="I8" s="19">
        <f>VLOOKUP(H8,Escalas!$H$7:$I$11,2,FALSE())</f>
        <v>60</v>
      </c>
      <c r="J8" s="20">
        <f>I8*E8</f>
        <v>1.3499999999999999</v>
      </c>
      <c r="K8" s="21" t="s">
        <v>97</v>
      </c>
      <c r="L8" s="22" t="s">
        <v>40</v>
      </c>
      <c r="M8" s="22">
        <f>VLOOKUP(L8,Escalas!$H$7:$I$11,2,FALSE())</f>
        <v>100</v>
      </c>
      <c r="N8" s="23">
        <f>M8*E8</f>
        <v>2.25</v>
      </c>
      <c r="O8" s="24" t="s">
        <v>98</v>
      </c>
    </row>
    <row r="9" spans="2:15" ht="45.75" customHeight="1">
      <c r="B9" s="1" t="s">
        <v>99</v>
      </c>
      <c r="C9" s="6">
        <v>0.5</v>
      </c>
      <c r="D9" s="16"/>
      <c r="E9" s="16"/>
      <c r="F9" s="16" t="s">
        <v>100</v>
      </c>
      <c r="G9" s="16" t="s">
        <v>101</v>
      </c>
      <c r="H9" s="16"/>
      <c r="I9" s="16"/>
      <c r="J9" s="16"/>
      <c r="K9" s="16"/>
      <c r="L9" s="16"/>
      <c r="M9" s="16"/>
      <c r="N9" s="16"/>
      <c r="O9" s="16"/>
    </row>
    <row r="10" spans="2:15" ht="42" customHeight="1">
      <c r="B10" s="2" t="s">
        <v>102</v>
      </c>
      <c r="D10" s="17">
        <v>0.4</v>
      </c>
      <c r="E10" s="18">
        <f>0.15*$C$9*D10</f>
        <v>0.03</v>
      </c>
      <c r="F10" s="2" t="s">
        <v>103</v>
      </c>
      <c r="G10" s="2" t="s">
        <v>104</v>
      </c>
      <c r="H10" s="19" t="s">
        <v>48</v>
      </c>
      <c r="I10" s="19">
        <f>VLOOKUP(H10,Escalas!$H$7:$I$11,2,FALSE())</f>
        <v>60</v>
      </c>
      <c r="J10" s="20">
        <f>I10*E10</f>
        <v>1.7999999999999998</v>
      </c>
      <c r="K10" s="21" t="s">
        <v>105</v>
      </c>
      <c r="L10" s="22" t="s">
        <v>44</v>
      </c>
      <c r="M10" s="22">
        <f>VLOOKUP(L10,Escalas!$H$7:$I$11,2,FALSE())</f>
        <v>80</v>
      </c>
      <c r="N10" s="23">
        <f>M10*E10</f>
        <v>2.4</v>
      </c>
      <c r="O10" s="24" t="s">
        <v>106</v>
      </c>
    </row>
    <row r="11" spans="2:15" ht="42" customHeight="1">
      <c r="B11" s="2" t="s">
        <v>107</v>
      </c>
      <c r="D11" s="17">
        <v>0.3</v>
      </c>
      <c r="E11" s="18">
        <f>0.15*$C$9*D11</f>
        <v>2.2499999999999999E-2</v>
      </c>
      <c r="F11" s="2" t="s">
        <v>108</v>
      </c>
      <c r="G11" s="2" t="s">
        <v>109</v>
      </c>
      <c r="H11" s="19" t="s">
        <v>40</v>
      </c>
      <c r="I11" s="19">
        <f>VLOOKUP(H11,Escalas!$H$7:$I$11,2,FALSE())</f>
        <v>100</v>
      </c>
      <c r="J11" s="20">
        <f>I11*E11</f>
        <v>2.25</v>
      </c>
      <c r="K11" s="21" t="s">
        <v>110</v>
      </c>
      <c r="L11" s="22" t="s">
        <v>44</v>
      </c>
      <c r="M11" s="22">
        <f>VLOOKUP(L11,Escalas!$H$7:$I$11,2,FALSE())</f>
        <v>80</v>
      </c>
      <c r="N11" s="23">
        <f>M11*E11</f>
        <v>1.7999999999999998</v>
      </c>
      <c r="O11" s="24" t="s">
        <v>111</v>
      </c>
    </row>
    <row r="12" spans="2:15" ht="42" customHeight="1">
      <c r="B12" s="2" t="s">
        <v>112</v>
      </c>
      <c r="D12" s="17">
        <v>0.3</v>
      </c>
      <c r="E12" s="18">
        <f>0.15*$C$9*D12</f>
        <v>2.2499999999999999E-2</v>
      </c>
      <c r="F12" s="2" t="s">
        <v>113</v>
      </c>
      <c r="G12" s="2" t="s">
        <v>114</v>
      </c>
      <c r="H12" s="19" t="s">
        <v>48</v>
      </c>
      <c r="I12" s="19">
        <f>VLOOKUP(H12,Escalas!$H$7:$I$11,2,FALSE())</f>
        <v>60</v>
      </c>
      <c r="J12" s="20">
        <f>I12*E12</f>
        <v>1.3499999999999999</v>
      </c>
      <c r="K12" s="21" t="s">
        <v>115</v>
      </c>
      <c r="L12" s="22" t="s">
        <v>44</v>
      </c>
      <c r="M12" s="22">
        <f>VLOOKUP(L12,Escalas!$H$7:$I$11,2,FALSE())</f>
        <v>80</v>
      </c>
      <c r="N12" s="23">
        <f>M12*E12</f>
        <v>1.7999999999999998</v>
      </c>
      <c r="O12" s="24" t="s">
        <v>116</v>
      </c>
    </row>
    <row r="13" spans="2:15">
      <c r="B13" s="7" t="s">
        <v>117</v>
      </c>
      <c r="C13" s="25"/>
      <c r="D13" s="25"/>
      <c r="E13" s="25"/>
      <c r="F13" s="25"/>
      <c r="G13" s="25"/>
      <c r="H13" s="26"/>
      <c r="I13" s="26"/>
      <c r="J13" s="27">
        <f>J6+J7+J8+J10+J11+J12</f>
        <v>10.499999999999998</v>
      </c>
      <c r="K13" s="26" t="s">
        <v>118</v>
      </c>
      <c r="L13" s="26"/>
      <c r="M13" s="26"/>
      <c r="N13" s="27">
        <f>N6+N7+N8+N10+N11+N12</f>
        <v>13.5</v>
      </c>
      <c r="O13" s="26" t="s">
        <v>118</v>
      </c>
    </row>
    <row r="16" spans="2:15">
      <c r="F16" s="28"/>
      <c r="G16" s="28"/>
    </row>
  </sheetData>
  <mergeCells count="4">
    <mergeCell ref="B2:O2"/>
    <mergeCell ref="B3:G3"/>
    <mergeCell ref="H3:K3"/>
    <mergeCell ref="L3:O3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O17"/>
  <sheetViews>
    <sheetView showGridLines="0" zoomScaleNormal="100" workbookViewId="0">
      <selection activeCell="J10" sqref="J10"/>
    </sheetView>
  </sheetViews>
  <sheetFormatPr defaultColWidth="8.7109375" defaultRowHeight="15"/>
  <cols>
    <col min="1" max="1" width="2" customWidth="1"/>
    <col min="2" max="2" width="30" customWidth="1"/>
    <col min="3" max="4" width="8" customWidth="1"/>
    <col min="5" max="5" width="9" customWidth="1"/>
    <col min="6" max="6" width="33" customWidth="1"/>
    <col min="7" max="7" width="34" customWidth="1"/>
    <col min="8" max="8" width="12" customWidth="1"/>
    <col min="9" max="9" width="8" customWidth="1"/>
    <col min="10" max="10" width="10" customWidth="1"/>
    <col min="11" max="11" width="33" customWidth="1"/>
    <col min="12" max="12" width="12" customWidth="1"/>
    <col min="13" max="13" width="8" customWidth="1"/>
    <col min="14" max="14" width="10" customWidth="1"/>
    <col min="15" max="15" width="33" customWidth="1"/>
  </cols>
  <sheetData>
    <row r="2" spans="2:15" ht="24" customHeight="1">
      <c r="B2" s="44" t="s">
        <v>119</v>
      </c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</row>
    <row r="3" spans="2:15" ht="15" customHeight="1">
      <c r="B3" s="37" t="s">
        <v>70</v>
      </c>
      <c r="C3" s="37"/>
      <c r="D3" s="37"/>
      <c r="E3" s="37"/>
      <c r="F3" s="37"/>
      <c r="G3" s="37"/>
      <c r="H3" s="38" t="s">
        <v>71</v>
      </c>
      <c r="I3" s="38"/>
      <c r="J3" s="38"/>
      <c r="K3" s="38"/>
      <c r="L3" s="39" t="s">
        <v>72</v>
      </c>
      <c r="M3" s="39"/>
      <c r="N3" s="39"/>
      <c r="O3" s="39"/>
    </row>
    <row r="4" spans="2:15" ht="39.75" customHeight="1">
      <c r="B4" s="5" t="s">
        <v>73</v>
      </c>
      <c r="C4" s="5" t="s">
        <v>74</v>
      </c>
      <c r="D4" s="5" t="s">
        <v>75</v>
      </c>
      <c r="E4" s="5" t="s">
        <v>76</v>
      </c>
      <c r="F4" s="5" t="s">
        <v>77</v>
      </c>
      <c r="G4" s="5" t="s">
        <v>78</v>
      </c>
      <c r="H4" s="14" t="s">
        <v>35</v>
      </c>
      <c r="I4" s="14" t="s">
        <v>36</v>
      </c>
      <c r="J4" s="14" t="s">
        <v>79</v>
      </c>
      <c r="K4" s="14" t="s">
        <v>80</v>
      </c>
      <c r="L4" s="29" t="s">
        <v>35</v>
      </c>
      <c r="M4" s="29" t="s">
        <v>36</v>
      </c>
      <c r="N4" s="29" t="s">
        <v>79</v>
      </c>
      <c r="O4" s="29" t="s">
        <v>80</v>
      </c>
    </row>
    <row r="5" spans="2:15" ht="45.75" customHeight="1">
      <c r="B5" s="1" t="s">
        <v>120</v>
      </c>
      <c r="C5" s="6">
        <v>0.4</v>
      </c>
      <c r="D5" s="16"/>
      <c r="E5" s="16"/>
      <c r="F5" s="16" t="s">
        <v>121</v>
      </c>
      <c r="G5" s="16" t="s">
        <v>122</v>
      </c>
      <c r="H5" s="16"/>
      <c r="I5" s="16"/>
      <c r="J5" s="16"/>
      <c r="K5" s="16"/>
      <c r="L5" s="16"/>
      <c r="M5" s="16"/>
      <c r="N5" s="16"/>
      <c r="O5" s="16"/>
    </row>
    <row r="6" spans="2:15" ht="42" customHeight="1">
      <c r="B6" s="2" t="s">
        <v>123</v>
      </c>
      <c r="D6" s="17">
        <v>0.4</v>
      </c>
      <c r="E6" s="18">
        <f>0.35*$C$5*D6</f>
        <v>5.5999999999999994E-2</v>
      </c>
      <c r="F6" s="2" t="s">
        <v>124</v>
      </c>
      <c r="G6" s="2" t="s">
        <v>125</v>
      </c>
      <c r="H6" s="19" t="s">
        <v>44</v>
      </c>
      <c r="I6" s="19">
        <f>VLOOKUP(H6,Escalas!$H$7:$I$11,2,FALSE())</f>
        <v>80</v>
      </c>
      <c r="J6" s="20">
        <f>I6*E6</f>
        <v>4.4799999999999995</v>
      </c>
      <c r="K6" s="21" t="s">
        <v>126</v>
      </c>
      <c r="L6" s="22" t="s">
        <v>44</v>
      </c>
      <c r="M6" s="22">
        <f>VLOOKUP(L6,Escalas!$H$7:$I$11,2,FALSE())</f>
        <v>80</v>
      </c>
      <c r="N6" s="23">
        <f>M6*E6</f>
        <v>4.4799999999999995</v>
      </c>
      <c r="O6" s="24" t="s">
        <v>127</v>
      </c>
    </row>
    <row r="7" spans="2:15" ht="42" customHeight="1">
      <c r="B7" s="2" t="s">
        <v>128</v>
      </c>
      <c r="D7" s="17">
        <v>0.3</v>
      </c>
      <c r="E7" s="18">
        <f>0.35*$C$5*D7</f>
        <v>4.1999999999999996E-2</v>
      </c>
      <c r="F7" s="2" t="s">
        <v>129</v>
      </c>
      <c r="G7" s="2" t="s">
        <v>130</v>
      </c>
      <c r="H7" s="19" t="s">
        <v>48</v>
      </c>
      <c r="I7" s="19">
        <f>VLOOKUP(H7,Escalas!$H$7:$I$11,2,FALSE())</f>
        <v>60</v>
      </c>
      <c r="J7" s="20">
        <f>I7*E7</f>
        <v>2.5199999999999996</v>
      </c>
      <c r="K7" s="21" t="s">
        <v>131</v>
      </c>
      <c r="L7" s="22" t="s">
        <v>44</v>
      </c>
      <c r="M7" s="22">
        <f>VLOOKUP(L7,Escalas!$H$7:$I$11,2,FALSE())</f>
        <v>80</v>
      </c>
      <c r="N7" s="23">
        <f>M7*E7</f>
        <v>3.3599999999999994</v>
      </c>
      <c r="O7" s="24" t="s">
        <v>132</v>
      </c>
    </row>
    <row r="8" spans="2:15" ht="42" customHeight="1">
      <c r="B8" s="2" t="s">
        <v>133</v>
      </c>
      <c r="D8" s="17">
        <v>0.3</v>
      </c>
      <c r="E8" s="18">
        <f>0.35*$C$5*D8</f>
        <v>4.1999999999999996E-2</v>
      </c>
      <c r="F8" s="2" t="s">
        <v>134</v>
      </c>
      <c r="G8" s="2" t="s">
        <v>135</v>
      </c>
      <c r="H8" s="19" t="s">
        <v>44</v>
      </c>
      <c r="I8" s="19">
        <f>VLOOKUP(H8,Escalas!$H$7:$I$11,2,FALSE())</f>
        <v>80</v>
      </c>
      <c r="J8" s="20">
        <f>I8*E8</f>
        <v>3.3599999999999994</v>
      </c>
      <c r="K8" s="21" t="s">
        <v>136</v>
      </c>
      <c r="L8" s="22" t="s">
        <v>44</v>
      </c>
      <c r="M8" s="22">
        <f>VLOOKUP(L8,Escalas!$H$7:$I$11,2,FALSE())</f>
        <v>80</v>
      </c>
      <c r="N8" s="23">
        <f>M8*E8</f>
        <v>3.3599999999999994</v>
      </c>
      <c r="O8" s="24" t="s">
        <v>137</v>
      </c>
    </row>
    <row r="9" spans="2:15" ht="45.75" customHeight="1">
      <c r="B9" s="1" t="s">
        <v>138</v>
      </c>
      <c r="C9" s="6">
        <v>0.35</v>
      </c>
      <c r="D9" s="16"/>
      <c r="E9" s="16"/>
      <c r="F9" s="16" t="s">
        <v>139</v>
      </c>
      <c r="G9" s="16" t="s">
        <v>140</v>
      </c>
      <c r="H9" s="16"/>
      <c r="I9" s="16"/>
      <c r="J9" s="16"/>
      <c r="K9" s="16"/>
      <c r="L9" s="16"/>
      <c r="M9" s="16"/>
      <c r="N9" s="16"/>
      <c r="O9" s="16"/>
    </row>
    <row r="10" spans="2:15" ht="42" customHeight="1">
      <c r="B10" s="2" t="s">
        <v>141</v>
      </c>
      <c r="D10" s="17">
        <v>0.35</v>
      </c>
      <c r="E10" s="18">
        <f>0.35*$C$9*D10</f>
        <v>4.287499999999999E-2</v>
      </c>
      <c r="F10" s="2" t="s">
        <v>142</v>
      </c>
      <c r="G10" s="2" t="s">
        <v>143</v>
      </c>
      <c r="H10" s="19" t="s">
        <v>48</v>
      </c>
      <c r="I10" s="19">
        <f>VLOOKUP(H10,Escalas!$H$7:$I$11,2,FALSE())</f>
        <v>60</v>
      </c>
      <c r="J10" s="20">
        <f>I10*E10</f>
        <v>2.5724999999999993</v>
      </c>
      <c r="K10" s="21" t="s">
        <v>144</v>
      </c>
      <c r="L10" s="22" t="s">
        <v>44</v>
      </c>
      <c r="M10" s="22">
        <f>VLOOKUP(L10,Escalas!$H$7:$I$11,2,FALSE())</f>
        <v>80</v>
      </c>
      <c r="N10" s="23">
        <f>M10*E10</f>
        <v>3.4299999999999993</v>
      </c>
      <c r="O10" s="24" t="s">
        <v>145</v>
      </c>
    </row>
    <row r="11" spans="2:15" ht="42" customHeight="1">
      <c r="B11" s="2" t="s">
        <v>146</v>
      </c>
      <c r="D11" s="17">
        <v>0.35</v>
      </c>
      <c r="E11" s="18">
        <f>0.35*$C$9*D11</f>
        <v>4.287499999999999E-2</v>
      </c>
      <c r="F11" s="2" t="s">
        <v>147</v>
      </c>
      <c r="G11" s="2" t="s">
        <v>148</v>
      </c>
      <c r="H11" s="19" t="s">
        <v>44</v>
      </c>
      <c r="I11" s="19">
        <f>VLOOKUP(H11,Escalas!$H$7:$I$11,2,FALSE())</f>
        <v>80</v>
      </c>
      <c r="J11" s="20">
        <f>I11*E11</f>
        <v>3.4299999999999993</v>
      </c>
      <c r="K11" s="21" t="s">
        <v>149</v>
      </c>
      <c r="L11" s="22" t="s">
        <v>44</v>
      </c>
      <c r="M11" s="22">
        <f>VLOOKUP(L11,Escalas!$H$7:$I$11,2,FALSE())</f>
        <v>80</v>
      </c>
      <c r="N11" s="23">
        <f>M11*E11</f>
        <v>3.4299999999999993</v>
      </c>
      <c r="O11" s="24" t="s">
        <v>150</v>
      </c>
    </row>
    <row r="12" spans="2:15" ht="42" customHeight="1">
      <c r="B12" s="2" t="s">
        <v>151</v>
      </c>
      <c r="D12" s="17">
        <v>0.3</v>
      </c>
      <c r="E12" s="18">
        <f>0.35*$C$9*D12</f>
        <v>3.6749999999999991E-2</v>
      </c>
      <c r="F12" s="2" t="s">
        <v>152</v>
      </c>
      <c r="G12" s="2" t="s">
        <v>153</v>
      </c>
      <c r="H12" s="19" t="s">
        <v>48</v>
      </c>
      <c r="I12" s="19">
        <f>VLOOKUP(H12,Escalas!$H$7:$I$11,2,FALSE())</f>
        <v>60</v>
      </c>
      <c r="J12" s="20">
        <f>I12*E12</f>
        <v>2.2049999999999996</v>
      </c>
      <c r="K12" s="21" t="s">
        <v>154</v>
      </c>
      <c r="L12" s="22" t="s">
        <v>44</v>
      </c>
      <c r="M12" s="22">
        <f>VLOOKUP(L12,Escalas!$H$7:$I$11,2,FALSE())</f>
        <v>80</v>
      </c>
      <c r="N12" s="23">
        <f>M12*E12</f>
        <v>2.9399999999999995</v>
      </c>
      <c r="O12" s="24" t="s">
        <v>155</v>
      </c>
    </row>
    <row r="13" spans="2:15" ht="45.75" customHeight="1">
      <c r="B13" s="1" t="s">
        <v>156</v>
      </c>
      <c r="C13" s="6">
        <v>0.25</v>
      </c>
      <c r="D13" s="16"/>
      <c r="E13" s="16"/>
      <c r="F13" s="16" t="s">
        <v>157</v>
      </c>
      <c r="G13" s="16" t="s">
        <v>158</v>
      </c>
      <c r="H13" s="16"/>
      <c r="I13" s="16"/>
      <c r="J13" s="16"/>
      <c r="K13" s="16"/>
      <c r="L13" s="16"/>
      <c r="M13" s="16"/>
      <c r="N13" s="16"/>
      <c r="O13" s="16"/>
    </row>
    <row r="14" spans="2:15" ht="42" customHeight="1">
      <c r="B14" s="2" t="s">
        <v>159</v>
      </c>
      <c r="D14" s="17">
        <v>0.4</v>
      </c>
      <c r="E14" s="18">
        <f>0.35*$C$13*D14</f>
        <v>3.4999999999999996E-2</v>
      </c>
      <c r="F14" s="2" t="s">
        <v>160</v>
      </c>
      <c r="G14" s="2" t="s">
        <v>161</v>
      </c>
      <c r="H14" s="19" t="s">
        <v>48</v>
      </c>
      <c r="I14" s="19">
        <f>VLOOKUP(H14,Escalas!$H$7:$I$11,2,FALSE())</f>
        <v>60</v>
      </c>
      <c r="J14" s="20">
        <f>I14*E14</f>
        <v>2.0999999999999996</v>
      </c>
      <c r="K14" s="21" t="s">
        <v>162</v>
      </c>
      <c r="L14" s="22" t="s">
        <v>44</v>
      </c>
      <c r="M14" s="22">
        <f>VLOOKUP(L14,Escalas!$H$7:$I$11,2,FALSE())</f>
        <v>80</v>
      </c>
      <c r="N14" s="23">
        <f>M14*E14</f>
        <v>2.8</v>
      </c>
      <c r="O14" s="24" t="s">
        <v>163</v>
      </c>
    </row>
    <row r="15" spans="2:15" ht="42" customHeight="1">
      <c r="B15" s="2" t="s">
        <v>164</v>
      </c>
      <c r="D15" s="17">
        <v>0.35</v>
      </c>
      <c r="E15" s="18">
        <f>0.35*$C$13*D15</f>
        <v>3.0624999999999996E-2</v>
      </c>
      <c r="F15" s="2" t="s">
        <v>165</v>
      </c>
      <c r="G15" s="2" t="s">
        <v>166</v>
      </c>
      <c r="H15" s="19" t="s">
        <v>48</v>
      </c>
      <c r="I15" s="19">
        <f>VLOOKUP(H15,Escalas!$H$7:$I$11,2,FALSE())</f>
        <v>60</v>
      </c>
      <c r="J15" s="20">
        <f>I15*E15</f>
        <v>1.8374999999999997</v>
      </c>
      <c r="K15" s="21" t="s">
        <v>167</v>
      </c>
      <c r="L15" s="22" t="s">
        <v>48</v>
      </c>
      <c r="M15" s="22">
        <f>VLOOKUP(L15,Escalas!$H$7:$I$11,2,FALSE())</f>
        <v>60</v>
      </c>
      <c r="N15" s="23">
        <f>M15*E15</f>
        <v>1.8374999999999997</v>
      </c>
      <c r="O15" s="24" t="s">
        <v>168</v>
      </c>
    </row>
    <row r="16" spans="2:15" ht="42" customHeight="1">
      <c r="B16" s="2" t="s">
        <v>169</v>
      </c>
      <c r="D16" s="17">
        <v>0.25</v>
      </c>
      <c r="E16" s="18">
        <f>0.35*$C$13*D16</f>
        <v>2.1874999999999999E-2</v>
      </c>
      <c r="F16" s="2" t="s">
        <v>170</v>
      </c>
      <c r="G16" s="2" t="s">
        <v>171</v>
      </c>
      <c r="H16" s="19" t="s">
        <v>52</v>
      </c>
      <c r="I16" s="19">
        <f>VLOOKUP(H16,Escalas!$H$7:$I$11,2,FALSE())</f>
        <v>30</v>
      </c>
      <c r="J16" s="20">
        <f>I16*E16</f>
        <v>0.65625</v>
      </c>
      <c r="K16" s="21" t="s">
        <v>172</v>
      </c>
      <c r="L16" s="22" t="s">
        <v>52</v>
      </c>
      <c r="M16" s="22">
        <f>VLOOKUP(L16,Escalas!$H$7:$I$11,2,FALSE())</f>
        <v>30</v>
      </c>
      <c r="N16" s="23">
        <f>M16*E16</f>
        <v>0.65625</v>
      </c>
      <c r="O16" s="24" t="s">
        <v>173</v>
      </c>
    </row>
    <row r="17" spans="2:15">
      <c r="B17" s="7" t="s">
        <v>174</v>
      </c>
      <c r="C17" s="25"/>
      <c r="D17" s="25"/>
      <c r="E17" s="25"/>
      <c r="F17" s="25"/>
      <c r="G17" s="25"/>
      <c r="H17" s="25"/>
      <c r="I17" s="25"/>
      <c r="J17" s="30">
        <f>J6+J7+J8+J10+J11+J12+J14+J15+J16</f>
        <v>23.161249999999995</v>
      </c>
      <c r="K17" s="9" t="s">
        <v>118</v>
      </c>
      <c r="L17" s="25"/>
      <c r="M17" s="25"/>
      <c r="N17" s="30">
        <f>N6+N7+N8+N10+N11+N12+N14+N15+N16</f>
        <v>26.293749999999999</v>
      </c>
      <c r="O17" s="9" t="s">
        <v>118</v>
      </c>
    </row>
  </sheetData>
  <mergeCells count="4">
    <mergeCell ref="B2:O2"/>
    <mergeCell ref="B3:G3"/>
    <mergeCell ref="H3:K3"/>
    <mergeCell ref="L3:O3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O17"/>
  <sheetViews>
    <sheetView showGridLines="0" topLeftCell="A5" zoomScaleNormal="100" workbookViewId="0">
      <selection activeCell="P16" sqref="P16"/>
    </sheetView>
  </sheetViews>
  <sheetFormatPr defaultColWidth="8.7109375" defaultRowHeight="15"/>
  <cols>
    <col min="1" max="1" width="2" customWidth="1"/>
    <col min="2" max="2" width="30" customWidth="1"/>
    <col min="3" max="4" width="8" customWidth="1"/>
    <col min="5" max="5" width="9" customWidth="1"/>
    <col min="6" max="6" width="33" customWidth="1"/>
    <col min="7" max="7" width="34" customWidth="1"/>
    <col min="8" max="8" width="12" customWidth="1"/>
    <col min="9" max="9" width="8" customWidth="1"/>
    <col min="10" max="10" width="10" customWidth="1"/>
    <col min="11" max="11" width="33" customWidth="1"/>
    <col min="12" max="12" width="12" customWidth="1"/>
    <col min="13" max="13" width="8" customWidth="1"/>
    <col min="14" max="14" width="10" customWidth="1"/>
    <col min="15" max="15" width="33" customWidth="1"/>
  </cols>
  <sheetData>
    <row r="2" spans="2:15" ht="24" customHeight="1">
      <c r="B2" s="44" t="s">
        <v>175</v>
      </c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</row>
    <row r="3" spans="2:15" ht="15" customHeight="1">
      <c r="B3" s="37" t="s">
        <v>70</v>
      </c>
      <c r="C3" s="37"/>
      <c r="D3" s="37"/>
      <c r="E3" s="37"/>
      <c r="F3" s="37"/>
      <c r="G3" s="37"/>
      <c r="H3" s="38" t="s">
        <v>71</v>
      </c>
      <c r="I3" s="38"/>
      <c r="J3" s="38"/>
      <c r="K3" s="38"/>
      <c r="L3" s="39" t="s">
        <v>72</v>
      </c>
      <c r="M3" s="39"/>
      <c r="N3" s="39"/>
      <c r="O3" s="39"/>
    </row>
    <row r="4" spans="2:15" ht="39.75" customHeight="1">
      <c r="B4" s="5" t="s">
        <v>73</v>
      </c>
      <c r="C4" s="5" t="s">
        <v>74</v>
      </c>
      <c r="D4" s="5" t="s">
        <v>75</v>
      </c>
      <c r="E4" s="5" t="s">
        <v>76</v>
      </c>
      <c r="F4" s="5" t="s">
        <v>77</v>
      </c>
      <c r="G4" s="5" t="s">
        <v>78</v>
      </c>
      <c r="H4" s="31" t="s">
        <v>35</v>
      </c>
      <c r="I4" s="31" t="s">
        <v>36</v>
      </c>
      <c r="J4" s="31" t="s">
        <v>79</v>
      </c>
      <c r="K4" s="31" t="s">
        <v>80</v>
      </c>
      <c r="L4" s="29" t="s">
        <v>35</v>
      </c>
      <c r="M4" s="29" t="s">
        <v>36</v>
      </c>
      <c r="N4" s="29" t="s">
        <v>79</v>
      </c>
      <c r="O4" s="29" t="s">
        <v>80</v>
      </c>
    </row>
    <row r="5" spans="2:15" ht="45.75" customHeight="1">
      <c r="B5" s="1" t="s">
        <v>176</v>
      </c>
      <c r="C5" s="6">
        <v>0.45</v>
      </c>
      <c r="D5" s="16"/>
      <c r="E5" s="16"/>
      <c r="F5" s="16" t="s">
        <v>177</v>
      </c>
      <c r="G5" s="16" t="s">
        <v>178</v>
      </c>
      <c r="H5" s="16"/>
      <c r="I5" s="16"/>
      <c r="J5" s="16"/>
      <c r="K5" s="16"/>
      <c r="L5" s="16"/>
      <c r="M5" s="16"/>
      <c r="N5" s="16"/>
      <c r="O5" s="16"/>
    </row>
    <row r="6" spans="2:15" ht="42" customHeight="1">
      <c r="B6" s="2" t="s">
        <v>179</v>
      </c>
      <c r="D6" s="17">
        <v>0.4</v>
      </c>
      <c r="E6" s="18">
        <f>0.25*$C$5*D6</f>
        <v>4.5000000000000005E-2</v>
      </c>
      <c r="F6" s="2" t="s">
        <v>180</v>
      </c>
      <c r="G6" s="2" t="s">
        <v>181</v>
      </c>
      <c r="H6" s="19" t="s">
        <v>40</v>
      </c>
      <c r="I6" s="19">
        <f>VLOOKUP(H6,Escalas!$H$7:$I$11,2,FALSE())</f>
        <v>100</v>
      </c>
      <c r="J6" s="20">
        <f>I6*E6</f>
        <v>4.5000000000000009</v>
      </c>
      <c r="K6" s="21" t="s">
        <v>182</v>
      </c>
      <c r="L6" s="22" t="s">
        <v>40</v>
      </c>
      <c r="M6" s="22">
        <f>VLOOKUP(L6,Escalas!$H$7:$I$11,2,FALSE())</f>
        <v>100</v>
      </c>
      <c r="N6" s="23">
        <f>M6*E6</f>
        <v>4.5000000000000009</v>
      </c>
      <c r="O6" s="24" t="s">
        <v>183</v>
      </c>
    </row>
    <row r="7" spans="2:15" ht="42" customHeight="1">
      <c r="B7" s="2" t="s">
        <v>184</v>
      </c>
      <c r="D7" s="17">
        <v>0.3</v>
      </c>
      <c r="E7" s="18">
        <f>0.25*$C$5*D7</f>
        <v>3.3750000000000002E-2</v>
      </c>
      <c r="F7" s="2" t="s">
        <v>185</v>
      </c>
      <c r="G7" s="2" t="s">
        <v>186</v>
      </c>
      <c r="H7" s="19" t="s">
        <v>44</v>
      </c>
      <c r="I7" s="19">
        <f>VLOOKUP(H7,Escalas!$H$7:$I$11,2,FALSE())</f>
        <v>80</v>
      </c>
      <c r="J7" s="20">
        <f>I7*E7</f>
        <v>2.7</v>
      </c>
      <c r="K7" s="21" t="s">
        <v>187</v>
      </c>
      <c r="L7" s="22" t="s">
        <v>48</v>
      </c>
      <c r="M7" s="22">
        <f>VLOOKUP(L7,Escalas!$H$7:$I$11,2,FALSE())</f>
        <v>60</v>
      </c>
      <c r="N7" s="23">
        <f>M7*E7</f>
        <v>2.0250000000000004</v>
      </c>
      <c r="O7" s="24" t="s">
        <v>188</v>
      </c>
    </row>
    <row r="8" spans="2:15" ht="42" customHeight="1">
      <c r="B8" s="2" t="s">
        <v>189</v>
      </c>
      <c r="D8" s="17">
        <v>0.3</v>
      </c>
      <c r="E8" s="18">
        <f>0.25*$C$5*D8</f>
        <v>3.3750000000000002E-2</v>
      </c>
      <c r="F8" s="2" t="s">
        <v>190</v>
      </c>
      <c r="G8" s="2" t="s">
        <v>191</v>
      </c>
      <c r="H8" s="19" t="s">
        <v>48</v>
      </c>
      <c r="I8" s="19">
        <f>VLOOKUP(H8,Escalas!$H$7:$I$11,2,FALSE())</f>
        <v>60</v>
      </c>
      <c r="J8" s="20">
        <f>I8*E8</f>
        <v>2.0250000000000004</v>
      </c>
      <c r="K8" s="21" t="s">
        <v>192</v>
      </c>
      <c r="L8" s="22" t="s">
        <v>44</v>
      </c>
      <c r="M8" s="22">
        <f>VLOOKUP(L8,Escalas!$H$7:$I$11,2,FALSE())</f>
        <v>80</v>
      </c>
      <c r="N8" s="23">
        <f>M8*E8</f>
        <v>2.7</v>
      </c>
      <c r="O8" s="24" t="s">
        <v>193</v>
      </c>
    </row>
    <row r="9" spans="2:15" ht="45.75" customHeight="1">
      <c r="B9" s="1" t="s">
        <v>194</v>
      </c>
      <c r="C9" s="6">
        <v>0.3</v>
      </c>
      <c r="D9" s="16"/>
      <c r="E9" s="16"/>
      <c r="F9" s="16" t="s">
        <v>195</v>
      </c>
      <c r="G9" s="16" t="s">
        <v>196</v>
      </c>
      <c r="H9" s="16"/>
      <c r="I9" s="16"/>
      <c r="J9" s="16"/>
      <c r="K9" s="16"/>
      <c r="L9" s="16"/>
      <c r="M9" s="16"/>
      <c r="N9" s="16"/>
      <c r="O9" s="16"/>
    </row>
    <row r="10" spans="2:15" ht="42" customHeight="1">
      <c r="B10" s="2" t="s">
        <v>197</v>
      </c>
      <c r="D10" s="17">
        <v>0.5</v>
      </c>
      <c r="E10" s="18">
        <f>0.25*$C$9*D10</f>
        <v>3.7499999999999999E-2</v>
      </c>
      <c r="F10" s="2" t="s">
        <v>198</v>
      </c>
      <c r="G10" s="2" t="s">
        <v>199</v>
      </c>
      <c r="H10" s="19" t="s">
        <v>44</v>
      </c>
      <c r="I10" s="19">
        <f>VLOOKUP(H10,Escalas!$H$7:$I$11,2,FALSE())</f>
        <v>80</v>
      </c>
      <c r="J10" s="20">
        <f>I10*E10</f>
        <v>3</v>
      </c>
      <c r="K10" s="21" t="s">
        <v>200</v>
      </c>
      <c r="L10" s="22" t="s">
        <v>44</v>
      </c>
      <c r="M10" s="22">
        <f>VLOOKUP(L10,Escalas!$H$7:$I$11,2,FALSE())</f>
        <v>80</v>
      </c>
      <c r="N10" s="23">
        <f>M10*E10</f>
        <v>3</v>
      </c>
      <c r="O10" s="24" t="s">
        <v>201</v>
      </c>
    </row>
    <row r="11" spans="2:15" ht="42" customHeight="1">
      <c r="B11" s="2" t="s">
        <v>202</v>
      </c>
      <c r="D11" s="17">
        <v>0.25</v>
      </c>
      <c r="E11" s="18">
        <f>0.25*$C$9*D11</f>
        <v>1.8749999999999999E-2</v>
      </c>
      <c r="F11" s="2" t="s">
        <v>203</v>
      </c>
      <c r="G11" s="2" t="s">
        <v>204</v>
      </c>
      <c r="H11" s="19" t="s">
        <v>48</v>
      </c>
      <c r="I11" s="19">
        <f>VLOOKUP(H11,Escalas!$H$7:$I$11,2,FALSE())</f>
        <v>60</v>
      </c>
      <c r="J11" s="20">
        <f>I11*E11</f>
        <v>1.125</v>
      </c>
      <c r="K11" s="21" t="s">
        <v>205</v>
      </c>
      <c r="L11" s="22" t="s">
        <v>44</v>
      </c>
      <c r="M11" s="22">
        <f>VLOOKUP(L11,Escalas!$H$7:$I$11,2,FALSE())</f>
        <v>80</v>
      </c>
      <c r="N11" s="23">
        <f>M11*E11</f>
        <v>1.5</v>
      </c>
      <c r="O11" s="24" t="s">
        <v>206</v>
      </c>
    </row>
    <row r="12" spans="2:15" ht="42" customHeight="1">
      <c r="B12" s="2" t="s">
        <v>207</v>
      </c>
      <c r="D12" s="17">
        <v>0.25</v>
      </c>
      <c r="E12" s="18">
        <f>0.25*$C$9*D12</f>
        <v>1.8749999999999999E-2</v>
      </c>
      <c r="F12" s="2" t="s">
        <v>208</v>
      </c>
      <c r="G12" s="2" t="s">
        <v>209</v>
      </c>
      <c r="H12" s="19" t="s">
        <v>44</v>
      </c>
      <c r="I12" s="19">
        <f>VLOOKUP(H12,Escalas!$H$7:$I$11,2,FALSE())</f>
        <v>80</v>
      </c>
      <c r="J12" s="20">
        <f>I12*E12</f>
        <v>1.5</v>
      </c>
      <c r="K12" s="21" t="s">
        <v>210</v>
      </c>
      <c r="L12" s="22" t="s">
        <v>40</v>
      </c>
      <c r="M12" s="22">
        <f>VLOOKUP(L12,Escalas!$H$7:$I$11,2,FALSE())</f>
        <v>100</v>
      </c>
      <c r="N12" s="23">
        <f>M12*E12</f>
        <v>1.875</v>
      </c>
      <c r="O12" s="24" t="s">
        <v>211</v>
      </c>
    </row>
    <row r="13" spans="2:15" ht="45.75" customHeight="1">
      <c r="B13" s="1" t="s">
        <v>212</v>
      </c>
      <c r="C13" s="6">
        <v>0.25</v>
      </c>
      <c r="D13" s="16"/>
      <c r="E13" s="16"/>
      <c r="F13" s="16" t="s">
        <v>213</v>
      </c>
      <c r="G13" s="16" t="s">
        <v>214</v>
      </c>
      <c r="H13" s="16"/>
      <c r="I13" s="16"/>
      <c r="J13" s="16"/>
      <c r="K13" s="16"/>
      <c r="L13" s="16"/>
      <c r="M13" s="16"/>
      <c r="N13" s="16"/>
      <c r="O13" s="16"/>
    </row>
    <row r="14" spans="2:15" ht="42" customHeight="1">
      <c r="B14" s="2" t="s">
        <v>215</v>
      </c>
      <c r="D14" s="17">
        <v>0.4</v>
      </c>
      <c r="E14" s="18">
        <f>0.25*$C$13*D14</f>
        <v>2.5000000000000001E-2</v>
      </c>
      <c r="F14" s="2" t="s">
        <v>216</v>
      </c>
      <c r="G14" s="2" t="s">
        <v>217</v>
      </c>
      <c r="H14" s="19" t="s">
        <v>48</v>
      </c>
      <c r="I14" s="19">
        <f>VLOOKUP(H14,Escalas!$H$7:$I$11,2,FALSE())</f>
        <v>60</v>
      </c>
      <c r="J14" s="20">
        <f>I14*E14</f>
        <v>1.5</v>
      </c>
      <c r="K14" s="21" t="s">
        <v>218</v>
      </c>
      <c r="L14" s="22" t="s">
        <v>48</v>
      </c>
      <c r="M14" s="22">
        <f>VLOOKUP(L14,Escalas!$H$7:$I$11,2,FALSE())</f>
        <v>60</v>
      </c>
      <c r="N14" s="23">
        <f>M14*E14</f>
        <v>1.5</v>
      </c>
      <c r="O14" s="24" t="s">
        <v>219</v>
      </c>
    </row>
    <row r="15" spans="2:15" ht="42" customHeight="1">
      <c r="B15" s="2" t="s">
        <v>220</v>
      </c>
      <c r="D15" s="17">
        <v>0.3</v>
      </c>
      <c r="E15" s="18">
        <f>0.25*$C$13*D15</f>
        <v>1.8749999999999999E-2</v>
      </c>
      <c r="F15" s="2" t="s">
        <v>221</v>
      </c>
      <c r="G15" s="2" t="s">
        <v>222</v>
      </c>
      <c r="H15" s="19" t="s">
        <v>48</v>
      </c>
      <c r="I15" s="19">
        <f>VLOOKUP(H15,Escalas!$H$7:$I$11,2,FALSE())</f>
        <v>60</v>
      </c>
      <c r="J15" s="20">
        <f>I15*E15</f>
        <v>1.125</v>
      </c>
      <c r="K15" s="21" t="s">
        <v>223</v>
      </c>
      <c r="L15" s="22" t="s">
        <v>44</v>
      </c>
      <c r="M15" s="22">
        <f>VLOOKUP(L15,Escalas!$H$7:$I$11,2,FALSE())</f>
        <v>80</v>
      </c>
      <c r="N15" s="23">
        <f>M15*E15</f>
        <v>1.5</v>
      </c>
      <c r="O15" s="24" t="s">
        <v>224</v>
      </c>
    </row>
    <row r="16" spans="2:15" ht="42" customHeight="1">
      <c r="B16" s="2" t="s">
        <v>225</v>
      </c>
      <c r="D16" s="17">
        <v>0.3</v>
      </c>
      <c r="E16" s="18">
        <f>0.25*$C$13*D16</f>
        <v>1.8749999999999999E-2</v>
      </c>
      <c r="F16" s="2" t="s">
        <v>226</v>
      </c>
      <c r="G16" s="2" t="s">
        <v>227</v>
      </c>
      <c r="H16" s="19" t="s">
        <v>48</v>
      </c>
      <c r="I16" s="19">
        <f>VLOOKUP(H16,Escalas!$H$7:$I$11,2,FALSE())</f>
        <v>60</v>
      </c>
      <c r="J16" s="20">
        <f>I16*E16</f>
        <v>1.125</v>
      </c>
      <c r="K16" s="21" t="s">
        <v>228</v>
      </c>
      <c r="L16" s="22" t="s">
        <v>44</v>
      </c>
      <c r="M16" s="22">
        <f>VLOOKUP(L16,Escalas!$H$7:$I$11,2,FALSE())</f>
        <v>80</v>
      </c>
      <c r="N16" s="23">
        <f>M16*E16</f>
        <v>1.5</v>
      </c>
      <c r="O16" s="24" t="s">
        <v>229</v>
      </c>
    </row>
    <row r="17" spans="2:15">
      <c r="B17" s="7" t="s">
        <v>230</v>
      </c>
      <c r="C17" s="25"/>
      <c r="D17" s="25"/>
      <c r="E17" s="25"/>
      <c r="F17" s="25"/>
      <c r="G17" s="25"/>
      <c r="H17" s="25"/>
      <c r="I17" s="25"/>
      <c r="J17" s="30">
        <f>J6+J7+J8+J10+J11+J12+J14+J15+J16</f>
        <v>18.600000000000001</v>
      </c>
      <c r="K17" s="9" t="s">
        <v>118</v>
      </c>
      <c r="L17" s="25"/>
      <c r="M17" s="25"/>
      <c r="N17" s="30">
        <f>N6+N7+N8+N10+N11+N12+N14+N15+N16</f>
        <v>20.100000000000001</v>
      </c>
      <c r="O17" s="9" t="s">
        <v>118</v>
      </c>
    </row>
  </sheetData>
  <mergeCells count="4">
    <mergeCell ref="B2:O2"/>
    <mergeCell ref="B3:G3"/>
    <mergeCell ref="H3:K3"/>
    <mergeCell ref="L3:O3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Q13"/>
  <sheetViews>
    <sheetView showGridLines="0" tabSelected="1" zoomScaleNormal="100" workbookViewId="0">
      <selection activeCell="F18" sqref="F18"/>
    </sheetView>
  </sheetViews>
  <sheetFormatPr defaultColWidth="8.7109375" defaultRowHeight="15"/>
  <cols>
    <col min="1" max="1" width="2" customWidth="1"/>
    <col min="2" max="2" width="28" customWidth="1"/>
    <col min="3" max="4" width="8" customWidth="1"/>
    <col min="5" max="5" width="9" customWidth="1"/>
    <col min="6" max="6" width="26" customWidth="1"/>
    <col min="7" max="8" width="12" customWidth="1"/>
    <col min="9" max="9" width="9" customWidth="1"/>
    <col min="10" max="10" width="11" customWidth="1"/>
    <col min="11" max="11" width="8" customWidth="1"/>
    <col min="12" max="12" width="10" customWidth="1"/>
    <col min="13" max="13" width="12" customWidth="1"/>
    <col min="14" max="14" width="9" customWidth="1"/>
    <col min="15" max="15" width="11" customWidth="1"/>
    <col min="16" max="16" width="8" customWidth="1"/>
    <col min="17" max="17" width="10" customWidth="1"/>
  </cols>
  <sheetData>
    <row r="2" spans="2:17" ht="24" customHeight="1">
      <c r="B2" s="36" t="s">
        <v>231</v>
      </c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</row>
    <row r="3" spans="2:17" ht="15" customHeight="1">
      <c r="B3" s="37" t="s">
        <v>232</v>
      </c>
      <c r="C3" s="37"/>
      <c r="D3" s="37"/>
      <c r="E3" s="37"/>
      <c r="F3" s="37"/>
      <c r="G3" s="38" t="s">
        <v>71</v>
      </c>
      <c r="H3" s="38"/>
      <c r="I3" s="38"/>
      <c r="J3" s="38"/>
      <c r="K3" s="38"/>
      <c r="L3" s="38"/>
      <c r="M3" s="39" t="s">
        <v>72</v>
      </c>
      <c r="N3" s="39"/>
      <c r="O3" s="39"/>
      <c r="P3" s="39"/>
      <c r="Q3" s="39"/>
    </row>
    <row r="4" spans="2:17" ht="42" customHeight="1">
      <c r="B4" s="5" t="s">
        <v>73</v>
      </c>
      <c r="C4" s="5" t="s">
        <v>74</v>
      </c>
      <c r="D4" s="5" t="s">
        <v>75</v>
      </c>
      <c r="E4" s="5" t="s">
        <v>76</v>
      </c>
      <c r="F4" s="5" t="s">
        <v>233</v>
      </c>
      <c r="G4" s="31" t="s">
        <v>234</v>
      </c>
      <c r="H4" s="31" t="s">
        <v>235</v>
      </c>
      <c r="I4" s="31" t="s">
        <v>236</v>
      </c>
      <c r="J4" s="31" t="s">
        <v>35</v>
      </c>
      <c r="K4" s="31" t="s">
        <v>36</v>
      </c>
      <c r="L4" s="31" t="s">
        <v>79</v>
      </c>
      <c r="M4" s="29" t="s">
        <v>235</v>
      </c>
      <c r="N4" s="29" t="s">
        <v>236</v>
      </c>
      <c r="O4" s="29" t="s">
        <v>35</v>
      </c>
      <c r="P4" s="29" t="s">
        <v>36</v>
      </c>
      <c r="Q4" s="29" t="s">
        <v>79</v>
      </c>
    </row>
    <row r="5" spans="2:17" ht="39.75" customHeight="1">
      <c r="B5" s="1" t="s">
        <v>237</v>
      </c>
      <c r="C5" s="6">
        <v>0.4</v>
      </c>
      <c r="D5" s="16"/>
      <c r="E5" s="16"/>
      <c r="F5" s="16" t="s">
        <v>238</v>
      </c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</row>
    <row r="6" spans="2:17" ht="38.25" customHeight="1">
      <c r="B6" s="2" t="s">
        <v>239</v>
      </c>
      <c r="D6" s="17">
        <v>0.5</v>
      </c>
      <c r="E6" s="18">
        <f>0.25*$C$5*D6</f>
        <v>0.05</v>
      </c>
      <c r="F6" s="2" t="s">
        <v>240</v>
      </c>
      <c r="G6" s="32">
        <v>3000</v>
      </c>
      <c r="H6" s="32">
        <v>2950</v>
      </c>
      <c r="I6" s="33">
        <f>(H6-G6)/G6</f>
        <v>-1.6666666666666666E-2</v>
      </c>
      <c r="J6" s="19" t="str">
        <f>IF(I6&lt;=0,"Excelente",IF(I6&lt;=0.1,"Muy bueno",IF(I6&lt;=0.25,"Bueno",IF(I6&lt;=0.5,"Regular","Deficiente"))))</f>
        <v>Excelente</v>
      </c>
      <c r="K6" s="19">
        <f>VLOOKUP(J6,Escalas!$H$7:$I$11,2,FALSE())</f>
        <v>100</v>
      </c>
      <c r="L6" s="20">
        <f>K6*E6</f>
        <v>5</v>
      </c>
      <c r="M6" s="34">
        <v>4250</v>
      </c>
      <c r="N6" s="35">
        <f>(M6-G6)/G6</f>
        <v>0.41666666666666669</v>
      </c>
      <c r="O6" s="22" t="str">
        <f>IF(N6&lt;=0,"Excelente",IF(N6&lt;=0.1,"Muy bueno",IF(N6&lt;=0.25,"Bueno",IF(N6&lt;=0.5,"Regular","Deficiente"))))</f>
        <v>Regular</v>
      </c>
      <c r="P6" s="22">
        <f>VLOOKUP(O6,Escalas!$H$7:$I$11,2,FALSE())</f>
        <v>30</v>
      </c>
      <c r="Q6" s="23">
        <f>P6*E6</f>
        <v>1.5</v>
      </c>
    </row>
    <row r="7" spans="2:17" ht="30" customHeight="1">
      <c r="B7" s="2" t="s">
        <v>241</v>
      </c>
      <c r="D7" s="17">
        <v>0.25</v>
      </c>
      <c r="E7" s="18">
        <f>0.25*$C$5*D7</f>
        <v>2.5000000000000001E-2</v>
      </c>
      <c r="F7" s="2" t="s">
        <v>242</v>
      </c>
      <c r="G7" s="32">
        <v>300</v>
      </c>
      <c r="H7" s="32">
        <v>250</v>
      </c>
      <c r="I7" s="33">
        <f>(H7-G7)/G7</f>
        <v>-0.16666666666666666</v>
      </c>
      <c r="J7" s="19" t="str">
        <f>IF(I7&lt;=0,"Excelente",IF(I7&lt;=0.1,"Muy bueno",IF(I7&lt;=0.25,"Bueno",IF(I7&lt;=0.5,"Regular","Deficiente"))))</f>
        <v>Excelente</v>
      </c>
      <c r="K7" s="19">
        <f>VLOOKUP(J7,Escalas!$H$7:$I$11,2,FALSE())</f>
        <v>100</v>
      </c>
      <c r="L7" s="20">
        <f>K7*E7</f>
        <v>2.5</v>
      </c>
      <c r="M7" s="34">
        <v>400</v>
      </c>
      <c r="N7" s="35">
        <f>(M7-G7)/G7</f>
        <v>0.33333333333333331</v>
      </c>
      <c r="O7" s="22" t="str">
        <f>IF(N7&lt;=0,"Excelente",IF(N7&lt;=0.1,"Muy bueno",IF(N7&lt;=0.25,"Bueno",IF(N7&lt;=0.5,"Regular","Deficiente"))))</f>
        <v>Regular</v>
      </c>
      <c r="P7" s="22">
        <f>VLOOKUP(O7,Escalas!$H$7:$I$11,2,FALSE())</f>
        <v>30</v>
      </c>
      <c r="Q7" s="23">
        <f>P7*E7</f>
        <v>0.75</v>
      </c>
    </row>
    <row r="8" spans="2:17" ht="30" customHeight="1">
      <c r="B8" s="2" t="s">
        <v>243</v>
      </c>
      <c r="D8" s="17">
        <v>0.25</v>
      </c>
      <c r="E8" s="18">
        <f>0.25*$C$5*D8</f>
        <v>2.5000000000000001E-2</v>
      </c>
      <c r="F8" s="2" t="s">
        <v>244</v>
      </c>
      <c r="G8" s="32">
        <v>300</v>
      </c>
      <c r="H8" s="32">
        <v>150</v>
      </c>
      <c r="I8" s="33">
        <f>(H8-G8)/G8</f>
        <v>-0.5</v>
      </c>
      <c r="J8" s="19" t="str">
        <f>IF(I8&lt;=0,"Excelente",IF(I8&lt;=0.1,"Muy bueno",IF(I8&lt;=0.25,"Bueno",IF(I8&lt;=0.5,"Regular","Deficiente"))))</f>
        <v>Excelente</v>
      </c>
      <c r="K8" s="19">
        <f>VLOOKUP(J8,Escalas!$H$7:$I$11,2,FALSE())</f>
        <v>100</v>
      </c>
      <c r="L8" s="20">
        <f>K8*E8</f>
        <v>2.5</v>
      </c>
      <c r="M8" s="34">
        <v>0</v>
      </c>
      <c r="N8" s="35">
        <f>(M8-G8)/G8</f>
        <v>-1</v>
      </c>
      <c r="O8" s="22" t="str">
        <f>IF(N8&lt;=0,"Excelente",IF(N8&lt;=0.1,"Muy bueno",IF(N8&lt;=0.25,"Bueno",IF(N8&lt;=0.5,"Regular","Deficiente"))))</f>
        <v>Excelente</v>
      </c>
      <c r="P8" s="22">
        <f>VLOOKUP(O8,Escalas!$H$7:$I$11,2,FALSE())</f>
        <v>100</v>
      </c>
      <c r="Q8" s="23">
        <f>P8*E8</f>
        <v>2.5</v>
      </c>
    </row>
    <row r="9" spans="2:17" ht="39.75" customHeight="1">
      <c r="B9" s="1" t="s">
        <v>245</v>
      </c>
      <c r="C9" s="6">
        <v>0.6</v>
      </c>
      <c r="D9" s="16"/>
      <c r="E9" s="16"/>
      <c r="F9" s="16" t="s">
        <v>246</v>
      </c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</row>
    <row r="10" spans="2:17" ht="30" customHeight="1">
      <c r="B10" s="2" t="s">
        <v>247</v>
      </c>
      <c r="D10" s="17">
        <v>0.4</v>
      </c>
      <c r="E10" s="18">
        <f>0.25*$C$9*D10</f>
        <v>0.06</v>
      </c>
      <c r="F10" s="2" t="s">
        <v>248</v>
      </c>
      <c r="G10" s="32">
        <v>1800</v>
      </c>
      <c r="H10" s="32">
        <v>1404</v>
      </c>
      <c r="I10" s="33">
        <f>(H10-G10)/G10</f>
        <v>-0.22</v>
      </c>
      <c r="J10" s="19" t="str">
        <f>IF(I10&lt;=0,"Excelente",IF(I10&lt;=0.1,"Muy bueno",IF(I10&lt;=0.25,"Bueno",IF(I10&lt;=0.5,"Regular","Deficiente"))))</f>
        <v>Excelente</v>
      </c>
      <c r="K10" s="19">
        <f>VLOOKUP(J10,Escalas!$H$7:$I$11,2,FALSE())</f>
        <v>100</v>
      </c>
      <c r="L10" s="20">
        <f>K10*E10</f>
        <v>6</v>
      </c>
      <c r="M10" s="34">
        <v>3600</v>
      </c>
      <c r="N10" s="35">
        <f>(M10-G10)/G10</f>
        <v>1</v>
      </c>
      <c r="O10" s="22" t="str">
        <f>IF(N10&lt;=0,"Excelente",IF(N10&lt;=0.1,"Muy bueno",IF(N10&lt;=0.25,"Bueno",IF(N10&lt;=0.5,"Regular","Deficiente"))))</f>
        <v>Deficiente</v>
      </c>
      <c r="P10" s="22">
        <f>VLOOKUP(O10,Escalas!$H$7:$I$11,2,FALSE())</f>
        <v>0</v>
      </c>
      <c r="Q10" s="23">
        <f>P10*E10</f>
        <v>0</v>
      </c>
    </row>
    <row r="11" spans="2:17" ht="30" customHeight="1">
      <c r="B11" s="2" t="s">
        <v>249</v>
      </c>
      <c r="D11" s="17">
        <v>0.3</v>
      </c>
      <c r="E11" s="18">
        <f>0.25*$C$9*D11</f>
        <v>4.4999999999999998E-2</v>
      </c>
      <c r="F11" s="2" t="s">
        <v>250</v>
      </c>
      <c r="G11" s="32">
        <v>400</v>
      </c>
      <c r="H11" s="32">
        <v>300</v>
      </c>
      <c r="I11" s="33">
        <f>(H11-G11)/G11</f>
        <v>-0.25</v>
      </c>
      <c r="J11" s="19" t="str">
        <f>IF(I11&lt;=0,"Excelente",IF(I11&lt;=0.1,"Muy bueno",IF(I11&lt;=0.25,"Bueno",IF(I11&lt;=0.5,"Regular","Deficiente"))))</f>
        <v>Excelente</v>
      </c>
      <c r="K11" s="19">
        <f>VLOOKUP(J11,Escalas!$H$7:$I$11,2,FALSE())</f>
        <v>100</v>
      </c>
      <c r="L11" s="20">
        <f>K11*E11</f>
        <v>4.5</v>
      </c>
      <c r="M11" s="34">
        <v>0</v>
      </c>
      <c r="N11" s="35">
        <f>(M11-G11)/G11</f>
        <v>-1</v>
      </c>
      <c r="O11" s="22" t="str">
        <f>IF(N11&lt;=0,"Excelente",IF(N11&lt;=0.1,"Muy bueno",IF(N11&lt;=0.25,"Bueno",IF(N11&lt;=0.5,"Regular","Deficiente"))))</f>
        <v>Excelente</v>
      </c>
      <c r="P11" s="22">
        <f>VLOOKUP(O11,Escalas!$H$7:$I$11,2,FALSE())</f>
        <v>100</v>
      </c>
      <c r="Q11" s="23">
        <f>P11*E11</f>
        <v>4.5</v>
      </c>
    </row>
    <row r="12" spans="2:17" ht="30" customHeight="1">
      <c r="B12" s="2" t="s">
        <v>251</v>
      </c>
      <c r="D12" s="17">
        <v>0.3</v>
      </c>
      <c r="E12" s="18">
        <f>0.25*$C$9*D12</f>
        <v>4.4999999999999998E-2</v>
      </c>
      <c r="F12" s="2" t="s">
        <v>252</v>
      </c>
      <c r="G12" s="32">
        <v>40</v>
      </c>
      <c r="H12" s="32">
        <v>39</v>
      </c>
      <c r="I12" s="33">
        <f>(H12-G12)/G12</f>
        <v>-2.5000000000000001E-2</v>
      </c>
      <c r="J12" s="19" t="str">
        <f>IF(I12&lt;=0,"Excelente",IF(I12&lt;=0.1,"Muy bueno",IF(I12&lt;=0.25,"Bueno",IF(I12&lt;=0.5,"Regular","Deficiente"))))</f>
        <v>Excelente</v>
      </c>
      <c r="K12" s="19">
        <f>VLOOKUP(J12,Escalas!$H$7:$I$11,2,FALSE())</f>
        <v>100</v>
      </c>
      <c r="L12" s="20">
        <f>K12*E12</f>
        <v>4.5</v>
      </c>
      <c r="M12" s="34">
        <v>100</v>
      </c>
      <c r="N12" s="35">
        <f>(M12-G12)/G12</f>
        <v>1.5</v>
      </c>
      <c r="O12" s="22" t="str">
        <f>IF(N12&lt;=0,"Excelente",IF(N12&lt;=0.1,"Muy bueno",IF(N12&lt;=0.25,"Bueno",IF(N12&lt;=0.5,"Regular","Deficiente"))))</f>
        <v>Deficiente</v>
      </c>
      <c r="P12" s="22">
        <f>VLOOKUP(O12,Escalas!$H$7:$I$11,2,FALSE())</f>
        <v>0</v>
      </c>
      <c r="Q12" s="23">
        <f>P12*E12</f>
        <v>0</v>
      </c>
    </row>
    <row r="13" spans="2:17">
      <c r="B13" s="7" t="s">
        <v>253</v>
      </c>
      <c r="C13" s="25"/>
      <c r="D13" s="25"/>
      <c r="E13" s="25"/>
      <c r="F13" s="25"/>
      <c r="G13" s="25"/>
      <c r="H13" s="25"/>
      <c r="I13" s="25"/>
      <c r="J13" s="25"/>
      <c r="K13" s="25"/>
      <c r="L13" s="30">
        <f>L6+L7+L8+L10+L11+L12</f>
        <v>25</v>
      </c>
      <c r="M13" s="25"/>
      <c r="N13" s="25"/>
      <c r="O13" s="25"/>
      <c r="P13" s="25"/>
      <c r="Q13" s="30">
        <f>Q6+Q7+Q8+Q10+Q11+Q12</f>
        <v>9.25</v>
      </c>
    </row>
  </sheetData>
  <mergeCells count="4">
    <mergeCell ref="B2:Q2"/>
    <mergeCell ref="B3:F3"/>
    <mergeCell ref="G3:L3"/>
    <mergeCell ref="M3:Q3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Ezequiel Lucero D'arcangelo</cp:lastModifiedBy>
  <cp:revision>1</cp:revision>
  <dcterms:created xsi:type="dcterms:W3CDTF">2026-06-17T21:08:14Z</dcterms:created>
  <dcterms:modified xsi:type="dcterms:W3CDTF">2026-06-24T14:29:24Z</dcterms:modified>
  <cp:category/>
  <cp:contentStatus/>
</cp:coreProperties>
</file>